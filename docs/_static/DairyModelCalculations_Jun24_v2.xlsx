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maryinsightnz.sharepoint.com/sites/Clients/Shared Documents/General/Komanawa/Part II/"/>
    </mc:Choice>
  </mc:AlternateContent>
  <xr:revisionPtr revIDLastSave="0" documentId="8_{D5113952-DC62-452B-9506-7A5A68CB463B}" xr6:coauthVersionLast="47" xr6:coauthVersionMax="47" xr10:uidLastSave="{00000000-0000-0000-0000-000000000000}"/>
  <bookViews>
    <workbookView xWindow="-57720" yWindow="-7305" windowWidth="29040" windowHeight="15720" activeTab="1" xr2:uid="{5FC11959-9016-4D27-93C7-1D35876C7542}"/>
  </bookViews>
  <sheets>
    <sheet name="FCE calculation" sheetId="1" r:id="rId1"/>
    <sheet name="Replacement + Dry Feed" sheetId="10" r:id="rId2"/>
    <sheet name="Dairybase (North Cant) stats" sheetId="3" r:id="rId3"/>
    <sheet name="Milk production" sheetId="2" r:id="rId4"/>
    <sheet name="Herd Distribution" sheetId="4" r:id="rId5"/>
    <sheet name="Payout" sheetId="5" r:id="rId6"/>
    <sheet name="Feed costs" sheetId="6" r:id="rId7"/>
    <sheet name="EFS &amp; Debt" sheetId="7" r:id="rId8"/>
    <sheet name="FCE calculation Origin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J4" i="7"/>
  <c r="C20" i="7"/>
  <c r="I6" i="10"/>
  <c r="I7" i="10"/>
  <c r="D17" i="10" s="1"/>
  <c r="I8" i="10"/>
  <c r="I9" i="10"/>
  <c r="I10" i="10"/>
  <c r="I5" i="10"/>
  <c r="H10" i="10"/>
  <c r="H6" i="10"/>
  <c r="H7" i="10"/>
  <c r="H8" i="10"/>
  <c r="H9" i="10"/>
  <c r="H5" i="10"/>
  <c r="G6" i="10"/>
  <c r="G7" i="10"/>
  <c r="G8" i="10"/>
  <c r="G9" i="10"/>
  <c r="G10" i="10"/>
  <c r="G5" i="10"/>
  <c r="K17" i="10" l="1"/>
  <c r="I17" i="10"/>
  <c r="J17" i="10"/>
  <c r="H17" i="10"/>
  <c r="C17" i="10"/>
  <c r="G17" i="10"/>
  <c r="N17" i="10"/>
  <c r="F17" i="10"/>
  <c r="M17" i="10"/>
  <c r="E17" i="10"/>
  <c r="L17" i="10"/>
  <c r="H25" i="7"/>
  <c r="K25" i="7"/>
  <c r="B25" i="7"/>
  <c r="C14" i="7"/>
  <c r="E25" i="7" s="1"/>
  <c r="AY4" i="3"/>
  <c r="AY5" i="3"/>
  <c r="AY6" i="3"/>
  <c r="AY3" i="3"/>
  <c r="AW8" i="3"/>
  <c r="AY7" i="3"/>
  <c r="AY8" i="3" s="1"/>
  <c r="AX7" i="3"/>
  <c r="AW7" i="3"/>
  <c r="AV7" i="3"/>
  <c r="AW4" i="3"/>
  <c r="AW5" i="3"/>
  <c r="AW6" i="3"/>
  <c r="AW3" i="3"/>
  <c r="L7" i="1"/>
  <c r="AH8" i="3"/>
  <c r="AI8" i="3"/>
  <c r="AJ8" i="3"/>
  <c r="AK8" i="3"/>
  <c r="AK7" i="3"/>
  <c r="AI7" i="3"/>
  <c r="AJ7" i="3"/>
  <c r="D3" i="6"/>
  <c r="D5" i="6"/>
  <c r="D7" i="6"/>
  <c r="D9" i="6"/>
  <c r="C9" i="6"/>
  <c r="C12" i="6"/>
  <c r="C16" i="6"/>
  <c r="L7" i="9"/>
  <c r="N7" i="9" s="1"/>
  <c r="L8" i="9"/>
  <c r="N8" i="9" s="1"/>
  <c r="L9" i="9"/>
  <c r="N9" i="9" s="1"/>
  <c r="L6" i="9"/>
  <c r="N6" i="9" s="1"/>
  <c r="C8" i="1"/>
  <c r="C9" i="1"/>
  <c r="C10" i="1"/>
  <c r="C7" i="1"/>
  <c r="N16" i="9"/>
  <c r="M16" i="9"/>
  <c r="O16" i="9" s="1"/>
  <c r="F16" i="9"/>
  <c r="N15" i="9"/>
  <c r="M15" i="9"/>
  <c r="O15" i="9" s="1"/>
  <c r="F15" i="9"/>
  <c r="N14" i="9"/>
  <c r="M14" i="9"/>
  <c r="O14" i="9" s="1"/>
  <c r="F14" i="9"/>
  <c r="N13" i="9"/>
  <c r="M13" i="9"/>
  <c r="O13" i="9" s="1"/>
  <c r="O17" i="9" s="1"/>
  <c r="F13" i="9"/>
  <c r="F9" i="9"/>
  <c r="C9" i="9"/>
  <c r="F8" i="9"/>
  <c r="C8" i="9"/>
  <c r="F7" i="9"/>
  <c r="C7" i="9"/>
  <c r="F6" i="9"/>
  <c r="C6" i="9"/>
  <c r="AG7" i="3"/>
  <c r="AG8" i="3" s="1"/>
  <c r="AH7" i="3"/>
  <c r="L8" i="1"/>
  <c r="L9" i="1"/>
  <c r="L10" i="1"/>
  <c r="N10" i="1" s="1"/>
  <c r="AF7" i="3"/>
  <c r="AF8" i="3" s="1"/>
  <c r="C11" i="6" l="1"/>
  <c r="F17" i="9"/>
  <c r="F10" i="9"/>
  <c r="I4" i="7" l="1"/>
  <c r="H4" i="7"/>
  <c r="AM7" i="3"/>
  <c r="B4" i="7"/>
  <c r="D37" i="2"/>
  <c r="D38" i="2"/>
  <c r="D39" i="2"/>
  <c r="D40" i="2"/>
  <c r="F7" i="3"/>
  <c r="E4" i="7" s="1"/>
  <c r="C13" i="6"/>
  <c r="D9" i="5"/>
  <c r="E9" i="5"/>
  <c r="F9" i="5"/>
  <c r="C9" i="5"/>
  <c r="H4" i="5"/>
  <c r="H5" i="5"/>
  <c r="H6" i="5"/>
  <c r="H7" i="5"/>
  <c r="H3" i="5"/>
  <c r="P6" i="2"/>
  <c r="P7" i="2"/>
  <c r="P8" i="2"/>
  <c r="P9" i="2"/>
  <c r="E65" i="4"/>
  <c r="F65" i="4"/>
  <c r="G65" i="4"/>
  <c r="H65" i="4"/>
  <c r="I65" i="4"/>
  <c r="J65" i="4"/>
  <c r="K65" i="4"/>
  <c r="L65" i="4"/>
  <c r="M65" i="4"/>
  <c r="N65" i="4"/>
  <c r="O65" i="4"/>
  <c r="D65" i="4"/>
  <c r="E58" i="4"/>
  <c r="F58" i="4"/>
  <c r="G58" i="4"/>
  <c r="H58" i="4"/>
  <c r="I58" i="4"/>
  <c r="J58" i="4"/>
  <c r="K58" i="4"/>
  <c r="L58" i="4"/>
  <c r="M58" i="4"/>
  <c r="N58" i="4"/>
  <c r="O58" i="4"/>
  <c r="D58" i="4"/>
  <c r="E54" i="4"/>
  <c r="F54" i="4"/>
  <c r="G54" i="4"/>
  <c r="H54" i="4"/>
  <c r="I54" i="4"/>
  <c r="J54" i="4"/>
  <c r="K54" i="4"/>
  <c r="L54" i="4"/>
  <c r="M54" i="4"/>
  <c r="N54" i="4"/>
  <c r="O54" i="4"/>
  <c r="D54" i="4"/>
  <c r="E30" i="4"/>
  <c r="F30" i="4"/>
  <c r="G30" i="4"/>
  <c r="H30" i="4"/>
  <c r="I30" i="4"/>
  <c r="J30" i="4"/>
  <c r="K30" i="4"/>
  <c r="L30" i="4"/>
  <c r="M30" i="4"/>
  <c r="N30" i="4"/>
  <c r="O30" i="4"/>
  <c r="D30" i="4"/>
  <c r="E37" i="4"/>
  <c r="F37" i="4"/>
  <c r="G37" i="4"/>
  <c r="H37" i="4"/>
  <c r="I37" i="4"/>
  <c r="J37" i="4"/>
  <c r="K37" i="4"/>
  <c r="L37" i="4"/>
  <c r="M37" i="4"/>
  <c r="N37" i="4"/>
  <c r="O37" i="4"/>
  <c r="D37" i="4"/>
  <c r="B37" i="4"/>
  <c r="C37" i="4"/>
  <c r="E50" i="4"/>
  <c r="F50" i="4"/>
  <c r="G50" i="4"/>
  <c r="H50" i="4"/>
  <c r="I50" i="4"/>
  <c r="J50" i="4"/>
  <c r="K50" i="4"/>
  <c r="L50" i="4"/>
  <c r="M50" i="4"/>
  <c r="N50" i="4"/>
  <c r="O50" i="4"/>
  <c r="D50" i="4"/>
  <c r="E46" i="4"/>
  <c r="F46" i="4"/>
  <c r="G46" i="4"/>
  <c r="H46" i="4"/>
  <c r="I46" i="4"/>
  <c r="J46" i="4"/>
  <c r="K46" i="4"/>
  <c r="L46" i="4"/>
  <c r="M46" i="4"/>
  <c r="N46" i="4"/>
  <c r="O46" i="4"/>
  <c r="D46" i="4"/>
  <c r="E42" i="4"/>
  <c r="F42" i="4"/>
  <c r="G42" i="4"/>
  <c r="H42" i="4"/>
  <c r="I42" i="4"/>
  <c r="J42" i="4"/>
  <c r="K42" i="4"/>
  <c r="L42" i="4"/>
  <c r="M42" i="4"/>
  <c r="N42" i="4"/>
  <c r="O42" i="4"/>
  <c r="D42" i="4"/>
  <c r="E23" i="4"/>
  <c r="F23" i="4"/>
  <c r="G23" i="4"/>
  <c r="H23" i="4"/>
  <c r="I23" i="4"/>
  <c r="J23" i="4"/>
  <c r="K23" i="4"/>
  <c r="L23" i="4"/>
  <c r="M23" i="4"/>
  <c r="N23" i="4"/>
  <c r="O23" i="4"/>
  <c r="D23" i="4"/>
  <c r="E11" i="4"/>
  <c r="F11" i="4"/>
  <c r="G11" i="4"/>
  <c r="H11" i="4"/>
  <c r="I11" i="4"/>
  <c r="J11" i="4"/>
  <c r="K11" i="4"/>
  <c r="L11" i="4"/>
  <c r="M11" i="4"/>
  <c r="N11" i="4"/>
  <c r="O11" i="4"/>
  <c r="D11" i="4"/>
  <c r="C23" i="4"/>
  <c r="C42" i="4" s="1"/>
  <c r="C46" i="4" s="1"/>
  <c r="C50" i="4" s="1"/>
  <c r="C54" i="4" s="1"/>
  <c r="C58" i="4" s="1"/>
  <c r="C65" i="4" s="1"/>
  <c r="B23" i="4"/>
  <c r="B42" i="4" s="1"/>
  <c r="B46" i="4" s="1"/>
  <c r="B50" i="4" s="1"/>
  <c r="B54" i="4" s="1"/>
  <c r="B58" i="4" s="1"/>
  <c r="B65" i="4" s="1"/>
  <c r="E16" i="4"/>
  <c r="F16" i="4"/>
  <c r="G16" i="4"/>
  <c r="H16" i="4"/>
  <c r="I16" i="4"/>
  <c r="J16" i="4"/>
  <c r="K16" i="4"/>
  <c r="L16" i="4"/>
  <c r="M16" i="4"/>
  <c r="N16" i="4"/>
  <c r="O16" i="4"/>
  <c r="D16" i="4"/>
  <c r="B5" i="4"/>
  <c r="B13" i="4" s="1"/>
  <c r="B20" i="4" s="1"/>
  <c r="B27" i="4" s="1"/>
  <c r="B34" i="4" s="1"/>
  <c r="B6" i="4"/>
  <c r="B14" i="4" s="1"/>
  <c r="B21" i="4" s="1"/>
  <c r="B28" i="4" s="1"/>
  <c r="B35" i="4" s="1"/>
  <c r="B7" i="4"/>
  <c r="B15" i="4" s="1"/>
  <c r="B22" i="4" s="1"/>
  <c r="B29" i="4" s="1"/>
  <c r="B36" i="4" s="1"/>
  <c r="B4" i="4"/>
  <c r="B12" i="4" s="1"/>
  <c r="B19" i="4" s="1"/>
  <c r="B40" i="4" s="1"/>
  <c r="B45" i="4" s="1"/>
  <c r="B49" i="4" s="1"/>
  <c r="B53" i="4" s="1"/>
  <c r="B57" i="4" s="1"/>
  <c r="D8" i="4"/>
  <c r="G68" i="4" s="1"/>
  <c r="D17" i="2"/>
  <c r="D19" i="2"/>
  <c r="D20" i="2"/>
  <c r="D21" i="2"/>
  <c r="D22" i="2"/>
  <c r="P13" i="2"/>
  <c r="P14" i="2"/>
  <c r="P15" i="2"/>
  <c r="P16" i="2"/>
  <c r="P25" i="2"/>
  <c r="P26" i="2"/>
  <c r="P27" i="2"/>
  <c r="P28" i="2"/>
  <c r="D34" i="2"/>
  <c r="E34" i="2"/>
  <c r="F34" i="2"/>
  <c r="G34" i="2"/>
  <c r="H34" i="2"/>
  <c r="I34" i="2"/>
  <c r="J34" i="2"/>
  <c r="K34" i="2"/>
  <c r="L34" i="2"/>
  <c r="M34" i="2"/>
  <c r="N34" i="2"/>
  <c r="O34" i="2"/>
  <c r="E22" i="2"/>
  <c r="F22" i="2"/>
  <c r="G22" i="2"/>
  <c r="H22" i="2"/>
  <c r="I22" i="2"/>
  <c r="J22" i="2"/>
  <c r="K22" i="2"/>
  <c r="L22" i="2"/>
  <c r="M22" i="2"/>
  <c r="N22" i="2"/>
  <c r="O22" i="2"/>
  <c r="D32" i="2"/>
  <c r="E32" i="2"/>
  <c r="F32" i="2"/>
  <c r="G32" i="2"/>
  <c r="H32" i="2"/>
  <c r="I32" i="2"/>
  <c r="J32" i="2"/>
  <c r="K32" i="2"/>
  <c r="L32" i="2"/>
  <c r="M32" i="2"/>
  <c r="N32" i="2"/>
  <c r="O32" i="2"/>
  <c r="D33" i="2"/>
  <c r="E33" i="2"/>
  <c r="F33" i="2"/>
  <c r="G33" i="2"/>
  <c r="H33" i="2"/>
  <c r="I33" i="2"/>
  <c r="J33" i="2"/>
  <c r="K33" i="2"/>
  <c r="L33" i="2"/>
  <c r="M33" i="2"/>
  <c r="N33" i="2"/>
  <c r="O33" i="2"/>
  <c r="E31" i="2"/>
  <c r="F31" i="2"/>
  <c r="G31" i="2"/>
  <c r="H31" i="2"/>
  <c r="I31" i="2"/>
  <c r="J31" i="2"/>
  <c r="K31" i="2"/>
  <c r="L31" i="2"/>
  <c r="M31" i="2"/>
  <c r="N31" i="2"/>
  <c r="O31" i="2"/>
  <c r="D31" i="2"/>
  <c r="E19" i="2"/>
  <c r="F19" i="2"/>
  <c r="G19" i="2"/>
  <c r="H19" i="2"/>
  <c r="I19" i="2"/>
  <c r="J19" i="2"/>
  <c r="K19" i="2"/>
  <c r="L19" i="2"/>
  <c r="M19" i="2"/>
  <c r="N19" i="2"/>
  <c r="O19" i="2"/>
  <c r="E20" i="2"/>
  <c r="F20" i="2"/>
  <c r="G20" i="2"/>
  <c r="H20" i="2"/>
  <c r="I20" i="2"/>
  <c r="J20" i="2"/>
  <c r="K20" i="2"/>
  <c r="L20" i="2"/>
  <c r="M20" i="2"/>
  <c r="N20" i="2"/>
  <c r="O20" i="2"/>
  <c r="E21" i="2"/>
  <c r="F21" i="2"/>
  <c r="G21" i="2"/>
  <c r="H21" i="2"/>
  <c r="I21" i="2"/>
  <c r="I39" i="2" s="1"/>
  <c r="I46" i="2" s="1"/>
  <c r="J21" i="2"/>
  <c r="K21" i="2"/>
  <c r="L21" i="2"/>
  <c r="M21" i="2"/>
  <c r="N21" i="2"/>
  <c r="O21" i="2"/>
  <c r="E29" i="2"/>
  <c r="F29" i="2"/>
  <c r="G29" i="2"/>
  <c r="H29" i="2"/>
  <c r="I29" i="2"/>
  <c r="J29" i="2"/>
  <c r="K29" i="2"/>
  <c r="L29" i="2"/>
  <c r="M29" i="2"/>
  <c r="N29" i="2"/>
  <c r="O29" i="2"/>
  <c r="D29" i="2"/>
  <c r="E17" i="2"/>
  <c r="F17" i="2"/>
  <c r="G17" i="2"/>
  <c r="H17" i="2"/>
  <c r="I17" i="2"/>
  <c r="J17" i="2"/>
  <c r="K17" i="2"/>
  <c r="L17" i="2"/>
  <c r="M17" i="2"/>
  <c r="N17" i="2"/>
  <c r="O17" i="2"/>
  <c r="B17" i="2"/>
  <c r="B29" i="2" s="1"/>
  <c r="B14" i="2"/>
  <c r="B26" i="2" s="1"/>
  <c r="B32" i="2" s="1"/>
  <c r="B15" i="2"/>
  <c r="B27" i="2" s="1"/>
  <c r="B33" i="2" s="1"/>
  <c r="B16" i="2"/>
  <c r="B28" i="2" s="1"/>
  <c r="B34" i="2" s="1"/>
  <c r="B13" i="2"/>
  <c r="B25" i="2" s="1"/>
  <c r="B31" i="2" s="1"/>
  <c r="B41" i="2"/>
  <c r="B49" i="2" s="1"/>
  <c r="B38" i="2"/>
  <c r="B45" i="2" s="1"/>
  <c r="B39" i="2"/>
  <c r="B46" i="2" s="1"/>
  <c r="B40" i="2"/>
  <c r="B47" i="2" s="1"/>
  <c r="B37" i="2"/>
  <c r="B44" i="2" s="1"/>
  <c r="E10" i="2"/>
  <c r="F10" i="2"/>
  <c r="G10" i="2"/>
  <c r="H10" i="2"/>
  <c r="I10" i="2"/>
  <c r="J10" i="2"/>
  <c r="K10" i="2"/>
  <c r="L10" i="2"/>
  <c r="M10" i="2"/>
  <c r="N10" i="2"/>
  <c r="O10" i="2"/>
  <c r="D10" i="2"/>
  <c r="N8" i="1"/>
  <c r="N9" i="1"/>
  <c r="F8" i="1"/>
  <c r="AQ4" i="3" s="1"/>
  <c r="F9" i="1"/>
  <c r="AQ5" i="3" s="1"/>
  <c r="F10" i="1"/>
  <c r="AQ6" i="3" s="1"/>
  <c r="N7" i="1"/>
  <c r="C7" i="2"/>
  <c r="C14" i="2" s="1"/>
  <c r="C26" i="2" s="1"/>
  <c r="C32" i="2" s="1"/>
  <c r="C8" i="2"/>
  <c r="C15" i="2" s="1"/>
  <c r="C27" i="2" s="1"/>
  <c r="C33" i="2" s="1"/>
  <c r="C9" i="2"/>
  <c r="C16" i="2" s="1"/>
  <c r="C28" i="2" s="1"/>
  <c r="C34" i="2" s="1"/>
  <c r="C6" i="2"/>
  <c r="C37" i="2" s="1"/>
  <c r="C44" i="2" s="1"/>
  <c r="F7" i="1"/>
  <c r="AQ3" i="3" s="1"/>
  <c r="AR3" i="3" l="1"/>
  <c r="AS3" i="3"/>
  <c r="AS5" i="3"/>
  <c r="AR5" i="3"/>
  <c r="K8" i="9" s="1"/>
  <c r="M8" i="9" s="1"/>
  <c r="O8" i="9" s="1"/>
  <c r="AS4" i="3"/>
  <c r="AR4" i="3"/>
  <c r="K7" i="9" s="1"/>
  <c r="M7" i="9" s="1"/>
  <c r="O7" i="9" s="1"/>
  <c r="AS6" i="3"/>
  <c r="AR6" i="3"/>
  <c r="AT6" i="3" s="1"/>
  <c r="AU6" i="3" s="1"/>
  <c r="K6" i="9"/>
  <c r="AQ7" i="3"/>
  <c r="F11" i="1"/>
  <c r="E67" i="4"/>
  <c r="E68" i="4" s="1"/>
  <c r="K67" i="4"/>
  <c r="K68" i="4" s="1"/>
  <c r="M67" i="4"/>
  <c r="M68" i="4" s="1"/>
  <c r="J67" i="4"/>
  <c r="J68" i="4" s="1"/>
  <c r="N67" i="4"/>
  <c r="N68" i="4" s="1"/>
  <c r="F67" i="4"/>
  <c r="F68" i="4" s="1"/>
  <c r="O67" i="4"/>
  <c r="O68" i="4" s="1"/>
  <c r="I67" i="4"/>
  <c r="I68" i="4" s="1"/>
  <c r="L67" i="4"/>
  <c r="L68" i="4" s="1"/>
  <c r="D68" i="4"/>
  <c r="H67" i="4"/>
  <c r="H68" i="4" s="1"/>
  <c r="H9" i="5"/>
  <c r="P10" i="2"/>
  <c r="B64" i="4"/>
  <c r="C5" i="4"/>
  <c r="C13" i="4" s="1"/>
  <c r="C20" i="4" s="1"/>
  <c r="C41" i="4" s="1"/>
  <c r="B63" i="4"/>
  <c r="O37" i="2"/>
  <c r="B62" i="4"/>
  <c r="C4" i="4"/>
  <c r="C12" i="4" s="1"/>
  <c r="C19" i="4" s="1"/>
  <c r="C40" i="4" s="1"/>
  <c r="C45" i="4" s="1"/>
  <c r="C49" i="4" s="1"/>
  <c r="C53" i="4" s="1"/>
  <c r="C57" i="4" s="1"/>
  <c r="C7" i="4"/>
  <c r="C15" i="4" s="1"/>
  <c r="C22" i="4" s="1"/>
  <c r="C29" i="4" s="1"/>
  <c r="C6" i="4"/>
  <c r="C14" i="4" s="1"/>
  <c r="C21" i="4" s="1"/>
  <c r="C28" i="4" s="1"/>
  <c r="B26" i="4"/>
  <c r="B41" i="4"/>
  <c r="H39" i="2"/>
  <c r="H46" i="2" s="1"/>
  <c r="O39" i="2"/>
  <c r="O46" i="2" s="1"/>
  <c r="G39" i="2"/>
  <c r="G46" i="2" s="1"/>
  <c r="E37" i="2"/>
  <c r="E44" i="2" s="1"/>
  <c r="P33" i="2"/>
  <c r="P34" i="2"/>
  <c r="N37" i="2"/>
  <c r="N44" i="2" s="1"/>
  <c r="M37" i="2"/>
  <c r="M44" i="2" s="1"/>
  <c r="L37" i="2"/>
  <c r="L44" i="2" s="1"/>
  <c r="H37" i="2"/>
  <c r="H44" i="2" s="1"/>
  <c r="G37" i="2"/>
  <c r="G44" i="2" s="1"/>
  <c r="F37" i="2"/>
  <c r="F44" i="2" s="1"/>
  <c r="P31" i="2"/>
  <c r="N39" i="2"/>
  <c r="N46" i="2" s="1"/>
  <c r="F39" i="2"/>
  <c r="F46" i="2" s="1"/>
  <c r="P22" i="2"/>
  <c r="K37" i="2"/>
  <c r="K44" i="2" s="1"/>
  <c r="P21" i="2"/>
  <c r="O44" i="2"/>
  <c r="P19" i="2"/>
  <c r="P17" i="2"/>
  <c r="P20" i="2"/>
  <c r="N38" i="2"/>
  <c r="M38" i="2"/>
  <c r="M45" i="2" s="1"/>
  <c r="L38" i="2"/>
  <c r="L45" i="2" s="1"/>
  <c r="K38" i="2"/>
  <c r="K45" i="2" s="1"/>
  <c r="F38" i="2"/>
  <c r="F45" i="2" s="1"/>
  <c r="P29" i="2"/>
  <c r="E38" i="2"/>
  <c r="E45" i="2" s="1"/>
  <c r="P32" i="2"/>
  <c r="H38" i="2"/>
  <c r="H45" i="2" s="1"/>
  <c r="K39" i="2"/>
  <c r="K46" i="2" s="1"/>
  <c r="O38" i="2"/>
  <c r="O45" i="2" s="1"/>
  <c r="G38" i="2"/>
  <c r="G45" i="2" s="1"/>
  <c r="J39" i="2"/>
  <c r="J46" i="2" s="1"/>
  <c r="J37" i="2"/>
  <c r="I37" i="2"/>
  <c r="J38" i="2"/>
  <c r="J45" i="2" s="1"/>
  <c r="M39" i="2"/>
  <c r="M46" i="2" s="1"/>
  <c r="E39" i="2"/>
  <c r="E46" i="2" s="1"/>
  <c r="I38" i="2"/>
  <c r="I45" i="2" s="1"/>
  <c r="L39" i="2"/>
  <c r="L46" i="2" s="1"/>
  <c r="M40" i="2"/>
  <c r="M47" i="2" s="1"/>
  <c r="E40" i="2"/>
  <c r="E47" i="2" s="1"/>
  <c r="L40" i="2"/>
  <c r="L47" i="2" s="1"/>
  <c r="K40" i="2"/>
  <c r="K47" i="2" s="1"/>
  <c r="J40" i="2"/>
  <c r="J47" i="2" s="1"/>
  <c r="I40" i="2"/>
  <c r="I47" i="2" s="1"/>
  <c r="H40" i="2"/>
  <c r="H47" i="2" s="1"/>
  <c r="O40" i="2"/>
  <c r="O47" i="2" s="1"/>
  <c r="G40" i="2"/>
  <c r="G47" i="2" s="1"/>
  <c r="N40" i="2"/>
  <c r="N47" i="2" s="1"/>
  <c r="F40" i="2"/>
  <c r="F47" i="2" s="1"/>
  <c r="B19" i="2"/>
  <c r="B22" i="2"/>
  <c r="C21" i="2"/>
  <c r="B21" i="2"/>
  <c r="C22" i="2"/>
  <c r="C20" i="2"/>
  <c r="B20" i="2"/>
  <c r="C40" i="2"/>
  <c r="C47" i="2" s="1"/>
  <c r="C39" i="2"/>
  <c r="C46" i="2" s="1"/>
  <c r="C13" i="2"/>
  <c r="C38" i="2"/>
  <c r="C45" i="2" s="1"/>
  <c r="C4" i="7" l="1"/>
  <c r="D4" i="7" s="1"/>
  <c r="F25" i="7"/>
  <c r="AT3" i="3"/>
  <c r="AU3" i="3" s="1"/>
  <c r="K7" i="1"/>
  <c r="K9" i="9"/>
  <c r="M9" i="9" s="1"/>
  <c r="O9" i="9" s="1"/>
  <c r="M6" i="9"/>
  <c r="O6" i="9" s="1"/>
  <c r="O10" i="9" s="1"/>
  <c r="AS7" i="3"/>
  <c r="AS8" i="3" s="1"/>
  <c r="AR7" i="3"/>
  <c r="AR8" i="3" s="1"/>
  <c r="K8" i="1"/>
  <c r="M8" i="1" s="1"/>
  <c r="O8" i="1" s="1"/>
  <c r="P8" i="1" s="1"/>
  <c r="AT4" i="3"/>
  <c r="AU4" i="3" s="1"/>
  <c r="K9" i="1"/>
  <c r="M9" i="1" s="1"/>
  <c r="O9" i="1" s="1"/>
  <c r="P9" i="1" s="1"/>
  <c r="K10" i="1"/>
  <c r="M10" i="1" s="1"/>
  <c r="O10" i="1" s="1"/>
  <c r="P10" i="1" s="1"/>
  <c r="AT5" i="3"/>
  <c r="AU5" i="3" s="1"/>
  <c r="P68" i="4"/>
  <c r="C26" i="4"/>
  <c r="C33" i="4" s="1"/>
  <c r="P38" i="2"/>
  <c r="P40" i="2"/>
  <c r="D46" i="2"/>
  <c r="P46" i="2" s="1"/>
  <c r="P39" i="2"/>
  <c r="C27" i="4"/>
  <c r="C34" i="4" s="1"/>
  <c r="P37" i="2"/>
  <c r="C35" i="4"/>
  <c r="C63" i="4"/>
  <c r="B33" i="4"/>
  <c r="B61" i="4"/>
  <c r="C36" i="4"/>
  <c r="C64" i="4"/>
  <c r="L49" i="2"/>
  <c r="E41" i="2"/>
  <c r="M49" i="2"/>
  <c r="F41" i="2"/>
  <c r="N45" i="2"/>
  <c r="N49" i="2" s="1"/>
  <c r="N41" i="2"/>
  <c r="M41" i="2"/>
  <c r="E49" i="2"/>
  <c r="K41" i="2"/>
  <c r="G49" i="2"/>
  <c r="F49" i="2"/>
  <c r="H41" i="2"/>
  <c r="G41" i="2"/>
  <c r="K49" i="2"/>
  <c r="O41" i="2"/>
  <c r="L41" i="2"/>
  <c r="O49" i="2"/>
  <c r="J44" i="2"/>
  <c r="J49" i="2" s="1"/>
  <c r="J41" i="2"/>
  <c r="I44" i="2"/>
  <c r="I49" i="2" s="1"/>
  <c r="I41" i="2"/>
  <c r="H49" i="2"/>
  <c r="D47" i="2"/>
  <c r="P47" i="2" s="1"/>
  <c r="D44" i="2"/>
  <c r="P44" i="2" s="1"/>
  <c r="D41" i="2"/>
  <c r="D45" i="2"/>
  <c r="C25" i="2"/>
  <c r="C31" i="2" s="1"/>
  <c r="C19" i="2"/>
  <c r="F4" i="7" l="1"/>
  <c r="G4" i="7"/>
  <c r="C25" i="7"/>
  <c r="I25" i="7"/>
  <c r="L25" i="7"/>
  <c r="D25" i="7"/>
  <c r="M7" i="1"/>
  <c r="O7" i="1" s="1"/>
  <c r="AT7" i="3"/>
  <c r="AT8" i="3" s="1"/>
  <c r="AU7" i="3"/>
  <c r="C61" i="4"/>
  <c r="C62" i="4"/>
  <c r="P45" i="2"/>
  <c r="P41" i="2"/>
  <c r="D49" i="2"/>
  <c r="P49" i="2" s="1"/>
  <c r="M25" i="7" l="1"/>
  <c r="M27" i="7" s="1"/>
  <c r="G28" i="7"/>
  <c r="J25" i="7"/>
  <c r="J27" i="7" s="1"/>
  <c r="M28" i="7"/>
  <c r="J28" i="7"/>
  <c r="G27" i="7"/>
  <c r="P7" i="1"/>
  <c r="O11" i="1"/>
  <c r="P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Astruc</author>
  </authors>
  <commentList>
    <comment ref="E3" authorId="0" shapeId="0" xr:uid="{00965DB9-931D-4ED5-846C-E47EEDBBA4F0}">
      <text>
        <r>
          <rPr>
            <sz val="9"/>
            <color indexed="81"/>
            <rFont val="Tahoma"/>
            <family val="2"/>
          </rPr>
          <t xml:space="preserve">Two farms excluded from balance sheet calculations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tc={CD5F2A5A-067C-469E-B78B-61D3E9E0B88C}</author>
    <author>tc={993A3A50-425D-40CE-8CE9-D85B07B351B4}</author>
    <author>tc={8B862359-01D8-4B08-8280-4B5869723E52}</author>
  </authors>
  <commentList>
    <comment ref="D67" authorId="0" shapeId="0" xr:uid="{CD5F2A5A-067C-469E-B78B-61D3E9E0B8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Made 0 as no production in June</t>
      </text>
    </comment>
    <comment ref="E67" authorId="1" shapeId="0" xr:uid="{993A3A50-425D-40CE-8CE9-D85B07B351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Canterbury start of calving date so now cows before 28 July
 </t>
      </text>
    </comment>
    <comment ref="G67" authorId="2" shapeId="0" xr:uid="{8B862359-01D8-4B08-8280-4B5869723E52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peak milk month with maximum cows</t>
      </text>
    </comment>
  </commentList>
</comments>
</file>

<file path=xl/sharedStrings.xml><?xml version="1.0" encoding="utf-8"?>
<sst xmlns="http://schemas.openxmlformats.org/spreadsheetml/2006/main" count="315" uniqueCount="201">
  <si>
    <t>Season</t>
  </si>
  <si>
    <t>Cow numbers</t>
  </si>
  <si>
    <t>MS/cow</t>
  </si>
  <si>
    <t>MS/ha</t>
  </si>
  <si>
    <t>Liveweight</t>
  </si>
  <si>
    <t>2022-23</t>
  </si>
  <si>
    <t>All</t>
  </si>
  <si>
    <t>North Canterbury</t>
  </si>
  <si>
    <t>Region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</si>
  <si>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</si>
  <si>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</si>
  <si>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</si>
  <si>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</si>
  <si>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</si>
  <si>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</si>
  <si>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</si>
  <si>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</si>
  <si>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</si>
  <si>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</si>
  <si>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</si>
  <si>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</si>
  <si>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 xml:space="preserve">Average </t>
  </si>
  <si>
    <t>District Councils</t>
  </si>
  <si>
    <t>Business type</t>
  </si>
  <si>
    <t>Farm Count</t>
  </si>
  <si>
    <t>Operating Profit (EFS)/ha</t>
  </si>
  <si>
    <t>Non-dairy operating profit $ Per Ha</t>
  </si>
  <si>
    <t>TOTAL OPERATING PROFIT $ Per Ha</t>
  </si>
  <si>
    <t>Freight and general farm working expenses $/Kg MS</t>
  </si>
  <si>
    <t>Feed Inventory Adjustment $/Kg MS</t>
  </si>
  <si>
    <t>Winter Cow Grazing $/Kg MS</t>
  </si>
  <si>
    <t>Net cost of leased runoff land $/Kg MS</t>
  </si>
  <si>
    <t>Owned Run-off Adjustment $/Kg MS</t>
  </si>
  <si>
    <t>Total Grazing &amp; Run Off Expenses $/Kg MS</t>
  </si>
  <si>
    <t>Total Feed Expenses $/Kg MS</t>
  </si>
  <si>
    <t>Net cost of leased runoff land $ Per Ha</t>
  </si>
  <si>
    <t>Total Feed Expenses $ Per Ha</t>
  </si>
  <si>
    <t>Off-farm grazing - young stock (t DM/ha)</t>
  </si>
  <si>
    <t>Total Feed Eaten 2020 (t DM/ha)</t>
  </si>
  <si>
    <t>Debt to Assets %</t>
  </si>
  <si>
    <t>Total Return on Assets % (Dairy)</t>
  </si>
  <si>
    <t>Return on Equity %</t>
  </si>
  <si>
    <t>Total return on equity %</t>
  </si>
  <si>
    <t>Waimakariri, Selwyn, Hurunui &amp; Ashburton</t>
  </si>
  <si>
    <t>Owner operator</t>
  </si>
  <si>
    <t>2021-22</t>
  </si>
  <si>
    <t>2020-21</t>
  </si>
  <si>
    <t>2019-20</t>
  </si>
  <si>
    <t>Total Milksolids (kg)</t>
  </si>
  <si>
    <t>Average</t>
  </si>
  <si>
    <t>FCE                               (kg DM/ kg MS)</t>
  </si>
  <si>
    <t>Feed demand (total kg)</t>
  </si>
  <si>
    <t>Feed demand/ cow (total kg)</t>
  </si>
  <si>
    <t>Feed demand/ ha (total kg)</t>
  </si>
  <si>
    <t>Stocking rate (cows/ha)</t>
  </si>
  <si>
    <t>Effective area (ha)</t>
  </si>
  <si>
    <t>From DairyNZ statistics</t>
  </si>
  <si>
    <t>Location</t>
  </si>
  <si>
    <t>Supplements made on farm in previous seasons eaten (t/DM/ha)</t>
  </si>
  <si>
    <t>Average litres of milk per day</t>
  </si>
  <si>
    <t>Average kg milkfat per cow per day</t>
  </si>
  <si>
    <t>Average kg protein per cow per day</t>
  </si>
  <si>
    <t>Average kg MS per day</t>
  </si>
  <si>
    <t xml:space="preserve">Average kg MS per month </t>
  </si>
  <si>
    <t>Average herd size</t>
  </si>
  <si>
    <t>Could request these from Dairybase</t>
  </si>
  <si>
    <t>Average distribution</t>
  </si>
  <si>
    <t>%</t>
  </si>
  <si>
    <t>Average herd distribution (Dairy Farm 1)</t>
  </si>
  <si>
    <t>Average herd distribution (Dairy Farm 2)</t>
  </si>
  <si>
    <t>Average herd distribution (Dairy Farm 3)</t>
  </si>
  <si>
    <t>Average herd distribution (Dairy Farm 4)</t>
  </si>
  <si>
    <t>Average herd distribution (Dairy Farm 5)</t>
  </si>
  <si>
    <t>Average herd distribution (Dairy Farm 6)</t>
  </si>
  <si>
    <t>Average herd distribution (Dairy Farm 7)</t>
  </si>
  <si>
    <t>Average herd distribution (Dairy Farm 8)</t>
  </si>
  <si>
    <t>Average herd distribution (Dairy Farm 9)</t>
  </si>
  <si>
    <t>Average herd distribution (Dairy Farm 10)</t>
  </si>
  <si>
    <t xml:space="preserve">Calving starts </t>
  </si>
  <si>
    <t>Feed (Pasture and crop) exported               (t DM/ha)</t>
  </si>
  <si>
    <t>Off-farm grazing - dry cow winter grazing                  (t DM/ha)</t>
  </si>
  <si>
    <t>2023-24</t>
  </si>
  <si>
    <t>Fonterra</t>
  </si>
  <si>
    <t>Synlait</t>
  </si>
  <si>
    <t>Open Country</t>
  </si>
  <si>
    <t>Westland</t>
  </si>
  <si>
    <t>Estimated</t>
  </si>
  <si>
    <t>Transport</t>
  </si>
  <si>
    <t>Per bale</t>
  </si>
  <si>
    <t>Feeding out (time + cost)</t>
  </si>
  <si>
    <t>Cost per t DM</t>
  </si>
  <si>
    <t>Total Feed out</t>
  </si>
  <si>
    <t>Calf Rearing (Excluding Labour)             $/Kg MS</t>
  </si>
  <si>
    <t>Total Supplement Expenses               $/Kg MS</t>
  </si>
  <si>
    <t>Net heifer/General grazing                   $/Kg MS</t>
  </si>
  <si>
    <t xml:space="preserve">  </t>
  </si>
  <si>
    <t>Supplements made, purchased, cropped                $/Kg MS</t>
  </si>
  <si>
    <t>Feed Inventory Adjustment                        $ Per Ha</t>
  </si>
  <si>
    <t>Calf Rearing (Excluding Labour)                  $ Per Ha</t>
  </si>
  <si>
    <t>Total Supplement Expenses                 $ Per Ha</t>
  </si>
  <si>
    <t>Owned Run-off Adjustment                    $ Per Ha</t>
  </si>
  <si>
    <t>Total Grazing &amp; Run Off Expenses                   $ Per Ha</t>
  </si>
  <si>
    <t>Pasture and Crop harvested 2020           (t DM/ha)</t>
  </si>
  <si>
    <t>Pasture and Crop eaten 2020                (t DM/ha)</t>
  </si>
  <si>
    <t>Imported supplements eaten 2020 (purchased + support block + feed inventory)                    (kg DM/cow)</t>
  </si>
  <si>
    <t>Imported supplements eaten (purchased or imported from support block)                        (t DM/ha)</t>
  </si>
  <si>
    <t>Winter Cow Grazing                             $ Per Ha</t>
  </si>
  <si>
    <t>Net heifer/General grazing                                $ Per Ha</t>
  </si>
  <si>
    <t>Supplements made, purchased and cropped                  (Per Ha)</t>
  </si>
  <si>
    <t>Total Made</t>
  </si>
  <si>
    <t>Ref DairyNZ production statistics national + Dairybase data for feed demand</t>
  </si>
  <si>
    <t>Reference = DairyNZ production statistics - LIC Herd testing data</t>
  </si>
  <si>
    <t>Ref DairyNZ production statistics North Canterbury</t>
  </si>
  <si>
    <t>Ref Primary Insight client Overseer data North Canterbury</t>
  </si>
  <si>
    <t>Trademe + Feedfinder + Local Contractors</t>
  </si>
  <si>
    <t>Cartage companies - 50 bale truck and trailer within 50km radius</t>
  </si>
  <si>
    <t>Lincoln Financial Manual + Local Contractors</t>
  </si>
  <si>
    <t>Farm size</t>
  </si>
  <si>
    <t>Stocking rate</t>
  </si>
  <si>
    <t>Hectares</t>
  </si>
  <si>
    <t>EFS/ha</t>
  </si>
  <si>
    <t>Debt/ha</t>
  </si>
  <si>
    <t>Total Dairy debt</t>
  </si>
  <si>
    <t>Ref Reserve bank</t>
  </si>
  <si>
    <t>Total Dairy area</t>
  </si>
  <si>
    <t>Total Dairy cows</t>
  </si>
  <si>
    <t>https://www.rbnz.govt.nz/statistics/series/registered-banks/banks-assets-agriculture-loans-by-product</t>
  </si>
  <si>
    <t>Ref Dairy production stats</t>
  </si>
  <si>
    <t>EFS/cow</t>
  </si>
  <si>
    <t>Debt/cow</t>
  </si>
  <si>
    <t>Total Farm Scenario EFS</t>
  </si>
  <si>
    <t>Total Farm Scenario Debt</t>
  </si>
  <si>
    <t>Total Purchase (includes transport)</t>
  </si>
  <si>
    <t xml:space="preserve">Average herd size </t>
  </si>
  <si>
    <t>Cow numbers for scenario</t>
  </si>
  <si>
    <t>Ref DairyNZ production statistics for North Canterbury + Dairybase data for feed demand - based on MPI method from</t>
  </si>
  <si>
    <t>Tractor + 4-bale Silage Wagon + Driver = $150/hr; 1-hour time</t>
  </si>
  <si>
    <t>Repacement rate</t>
  </si>
  <si>
    <t>MJ ME/ kgDM</t>
  </si>
  <si>
    <t>FCE (MJ ME/ kg MS)</t>
  </si>
  <si>
    <t>Baleage purchase</t>
  </si>
  <si>
    <t>Baleage making (mow, rake, bale, wrap + stack)</t>
  </si>
  <si>
    <t>Bales per tonne</t>
  </si>
  <si>
    <t>Bale weight (kg)</t>
  </si>
  <si>
    <t>Machinery and labour cost (hr)</t>
  </si>
  <si>
    <t>Feed out time time (hr)</t>
  </si>
  <si>
    <t>DM (kg) per bale based on 11 MJ/ME</t>
  </si>
  <si>
    <t>Bales per silage wagon</t>
  </si>
  <si>
    <t>Replacements</t>
  </si>
  <si>
    <t>Milking cow</t>
  </si>
  <si>
    <t>North Canterbury Milking Cow Stocking Rate</t>
  </si>
  <si>
    <t>North Canterbury Dry Cow Stocking Rate</t>
  </si>
  <si>
    <t>North Canterbury Replacement Stocking Rate</t>
  </si>
  <si>
    <t>Total Replacement Feed Eaten (t/DM/cow)</t>
  </si>
  <si>
    <t>Total Wintering Feed Eaten (t/DM/cow)</t>
  </si>
  <si>
    <t>Total Milking Cow Feed Eaten (t/DM/cow)</t>
  </si>
  <si>
    <t>Milking Cow Pasture &amp; Crop Eaten (t/DM/cow)</t>
  </si>
  <si>
    <t>Milking Cow Supplements Eaten (t/DM/cow)</t>
  </si>
  <si>
    <t>Milking Cow Supplement %</t>
  </si>
  <si>
    <t xml:space="preserve">Canterbury median dairy farm sale price (ha) </t>
  </si>
  <si>
    <t>Average Farm Debt</t>
  </si>
  <si>
    <t>Interest rate</t>
  </si>
  <si>
    <t>Feds</t>
  </si>
  <si>
    <t>Farmers weekly - REINZ data</t>
  </si>
  <si>
    <t>Total Debt</t>
  </si>
  <si>
    <t>Low Range Farm Debt</t>
  </si>
  <si>
    <t>High Range Farm Debt</t>
  </si>
  <si>
    <t>Monthly interest payments</t>
  </si>
  <si>
    <t>Total EFS</t>
  </si>
  <si>
    <t>North Canterbury average for last 4-years</t>
  </si>
  <si>
    <t>Herd size</t>
  </si>
  <si>
    <t>If split R1 &amp; R2 stock classes use the below</t>
  </si>
  <si>
    <t>If classes combined use the below</t>
  </si>
  <si>
    <t>Age</t>
  </si>
  <si>
    <t>From December</t>
  </si>
  <si>
    <t>From August</t>
  </si>
  <si>
    <t>All at 11 MJ/ME per kg DM</t>
  </si>
  <si>
    <t>Dry-cows</t>
  </si>
  <si>
    <t>+12</t>
  </si>
  <si>
    <t>Weeks pre-calving DM/day/cow</t>
  </si>
  <si>
    <t>Days</t>
  </si>
  <si>
    <t>Daily DM/cow 11-22 months</t>
  </si>
  <si>
    <t>Daily DM/cow 3-22 months</t>
  </si>
  <si>
    <t>Daily DM/cow 3-10 months</t>
  </si>
  <si>
    <t>Dairy cow price</t>
  </si>
  <si>
    <t>Debt:Asset ratio</t>
  </si>
  <si>
    <t>Debt:Asset low range</t>
  </si>
  <si>
    <t xml:space="preserve">Debt:Asset high range </t>
  </si>
  <si>
    <t>BNZ + ANZ pers comm</t>
  </si>
  <si>
    <t>Canterbury livestock listings</t>
  </si>
  <si>
    <t xml:space="preserve">June </t>
  </si>
  <si>
    <t>Application for Dry Cows</t>
  </si>
  <si>
    <t>Application for Replacements</t>
  </si>
  <si>
    <t xml:space="preserve">August </t>
  </si>
  <si>
    <t>Month</t>
  </si>
  <si>
    <t>Annual DM 3-22 months</t>
  </si>
  <si>
    <t>Annual DM 3-10 months</t>
  </si>
  <si>
    <t>Annual DM 11-22 months</t>
  </si>
  <si>
    <t>Feed Requirement</t>
  </si>
  <si>
    <t>Number Replacements (% Peak cow)</t>
  </si>
  <si>
    <t>Replacement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</si>
</sst>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%"/>
    <numFmt numFmtId="167" formatCode="_-&quot;$&quot;* #,##0_-;\-&quot;$&quot;* #,##0_-;_-&quot;$&quot;* &quot;-&quot;??_-;_-@_-"/>
    <numFmt numFmtId="168" formatCode="_-* #,##0.0_-;\-* #,##0.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5"/>
      <color rgb="FF58585A"/>
      <name val="Arial"/>
      <family val="2"/>
    </font>
    <font>
      <sz val="11"/>
      <color rgb="FF58585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0" fontId="0" fillId="0" borderId="0" xfId="0" applyAlignment="1">
      <alignment vertical="top"/>
    </xf>
    <xf numFmtId="43" fontId="0" fillId="3" borderId="1" xfId="1" applyFont="1" applyFill="1" applyBorder="1" applyAlignment="1">
      <alignment horizontal="left" vertical="top" wrapText="1"/>
    </xf>
    <xf numFmtId="2" fontId="0" fillId="3" borderId="1" xfId="0" applyNumberFormat="1" applyFill="1" applyBorder="1" applyAlignment="1">
      <alignment vertical="top"/>
    </xf>
    <xf numFmtId="43" fontId="0" fillId="3" borderId="1" xfId="0" applyNumberFormat="1" applyFill="1" applyBorder="1" applyAlignment="1">
      <alignment vertical="top"/>
    </xf>
    <xf numFmtId="43" fontId="0" fillId="3" borderId="1" xfId="0" applyNumberFormat="1" applyFill="1" applyBorder="1" applyAlignment="1">
      <alignment vertical="top" wrapText="1"/>
    </xf>
    <xf numFmtId="10" fontId="0" fillId="3" borderId="1" xfId="1" applyNumberFormat="1" applyFont="1" applyFill="1" applyBorder="1" applyAlignment="1">
      <alignment vertical="top" wrapText="1"/>
    </xf>
    <xf numFmtId="2" fontId="0" fillId="2" borderId="1" xfId="0" applyNumberFormat="1" applyFill="1" applyBorder="1" applyAlignment="1">
      <alignment vertical="top" wrapText="1"/>
    </xf>
    <xf numFmtId="164" fontId="0" fillId="0" borderId="0" xfId="1" applyNumberFormat="1" applyFont="1" applyAlignment="1">
      <alignment vertical="top"/>
    </xf>
    <xf numFmtId="43" fontId="0" fillId="0" borderId="0" xfId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1" applyNumberFormat="1" applyFont="1" applyAlignment="1">
      <alignment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0" fontId="0" fillId="0" borderId="0" xfId="2" applyNumberFormat="1" applyFont="1" applyAlignment="1">
      <alignment vertical="center"/>
    </xf>
    <xf numFmtId="10" fontId="2" fillId="0" borderId="0" xfId="2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6" fontId="2" fillId="0" borderId="0" xfId="2" applyNumberFormat="1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164" fontId="5" fillId="0" borderId="0" xfId="1" applyNumberFormat="1" applyFont="1" applyFill="1" applyAlignment="1">
      <alignment horizontal="right" vertical="center" wrapText="1"/>
    </xf>
    <xf numFmtId="164" fontId="1" fillId="0" borderId="0" xfId="1" applyNumberFormat="1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2" fillId="0" borderId="0" xfId="2" applyNumberFormat="1" applyFont="1" applyAlignment="1">
      <alignment vertical="center"/>
    </xf>
    <xf numFmtId="43" fontId="1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43" fontId="6" fillId="0" borderId="0" xfId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166" fontId="2" fillId="2" borderId="0" xfId="2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44" fontId="0" fillId="0" borderId="0" xfId="3" applyFont="1"/>
    <xf numFmtId="44" fontId="0" fillId="0" borderId="0" xfId="0" applyNumberFormat="1"/>
    <xf numFmtId="167" fontId="0" fillId="0" borderId="0" xfId="3" applyNumberFormat="1" applyFont="1"/>
    <xf numFmtId="167" fontId="0" fillId="0" borderId="0" xfId="0" applyNumberFormat="1"/>
    <xf numFmtId="164" fontId="2" fillId="2" borderId="0" xfId="1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7" fontId="0" fillId="2" borderId="1" xfId="3" applyNumberFormat="1" applyFont="1" applyFill="1" applyBorder="1" applyAlignment="1">
      <alignment vertical="top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top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vertical="center"/>
    </xf>
    <xf numFmtId="167" fontId="0" fillId="0" borderId="0" xfId="3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9" fillId="0" borderId="0" xfId="4" applyAlignment="1">
      <alignment vertical="center"/>
    </xf>
    <xf numFmtId="43" fontId="6" fillId="2" borderId="0" xfId="1" applyFont="1" applyFill="1" applyAlignment="1">
      <alignment vertical="top"/>
    </xf>
    <xf numFmtId="2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44" fontId="6" fillId="2" borderId="0" xfId="0" applyNumberFormat="1" applyFont="1" applyFill="1"/>
    <xf numFmtId="0" fontId="0" fillId="5" borderId="0" xfId="0" applyFill="1"/>
    <xf numFmtId="44" fontId="0" fillId="5" borderId="0" xfId="3" applyFont="1" applyFill="1"/>
    <xf numFmtId="167" fontId="2" fillId="2" borderId="0" xfId="0" applyNumberFormat="1" applyFont="1" applyFill="1"/>
    <xf numFmtId="10" fontId="6" fillId="2" borderId="0" xfId="0" applyNumberFormat="1" applyFont="1" applyFill="1" applyAlignment="1">
      <alignment vertical="top" wrapText="1"/>
    </xf>
    <xf numFmtId="167" fontId="6" fillId="2" borderId="0" xfId="3" applyNumberFormat="1" applyFont="1" applyFill="1" applyAlignment="1">
      <alignment vertical="top"/>
    </xf>
    <xf numFmtId="2" fontId="0" fillId="0" borderId="0" xfId="0" applyNumberFormat="1" applyAlignment="1">
      <alignment vertical="top"/>
    </xf>
    <xf numFmtId="43" fontId="6" fillId="3" borderId="0" xfId="1" applyFont="1" applyFill="1" applyAlignment="1">
      <alignment vertical="top"/>
    </xf>
    <xf numFmtId="43" fontId="2" fillId="0" borderId="0" xfId="0" applyNumberFormat="1" applyFont="1" applyAlignment="1">
      <alignment vertical="top"/>
    </xf>
    <xf numFmtId="43" fontId="6" fillId="3" borderId="0" xfId="0" applyNumberFormat="1" applyFont="1" applyFill="1" applyAlignment="1">
      <alignment vertical="top"/>
    </xf>
    <xf numFmtId="0" fontId="0" fillId="2" borderId="0" xfId="0" applyFill="1"/>
    <xf numFmtId="2" fontId="0" fillId="2" borderId="0" xfId="0" applyNumberFormat="1" applyFill="1"/>
    <xf numFmtId="167" fontId="0" fillId="2" borderId="0" xfId="3" applyNumberFormat="1" applyFont="1" applyFill="1"/>
    <xf numFmtId="0" fontId="0" fillId="0" borderId="0" xfId="0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9" fontId="2" fillId="2" borderId="0" xfId="0" applyNumberFormat="1" applyFont="1" applyFill="1" applyAlignment="1">
      <alignment horizontal="right" vertical="top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43" fontId="6" fillId="2" borderId="0" xfId="1" applyFont="1" applyFill="1" applyAlignment="1">
      <alignment vertical="top" wrapText="1"/>
    </xf>
    <xf numFmtId="0" fontId="10" fillId="0" borderId="0" xfId="0" applyFont="1" applyAlignment="1">
      <alignment vertical="top"/>
    </xf>
    <xf numFmtId="43" fontId="6" fillId="2" borderId="0" xfId="0" applyNumberFormat="1" applyFont="1" applyFill="1" applyAlignment="1">
      <alignment vertical="top"/>
    </xf>
    <xf numFmtId="0" fontId="6" fillId="2" borderId="0" xfId="0" applyFont="1" applyFill="1" applyAlignment="1">
      <alignment vertical="top"/>
    </xf>
    <xf numFmtId="10" fontId="6" fillId="2" borderId="0" xfId="0" applyNumberFormat="1" applyFont="1" applyFill="1" applyAlignment="1">
      <alignment vertical="top"/>
    </xf>
    <xf numFmtId="9" fontId="0" fillId="0" borderId="0" xfId="2" applyFont="1" applyAlignment="1">
      <alignment vertical="center"/>
    </xf>
    <xf numFmtId="44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4" fontId="0" fillId="0" borderId="0" xfId="1" applyNumberFormat="1" applyFont="1" applyFill="1" applyAlignment="1">
      <alignment vertical="center"/>
    </xf>
    <xf numFmtId="0" fontId="0" fillId="6" borderId="0" xfId="0" applyFill="1" applyAlignment="1">
      <alignment vertical="center"/>
    </xf>
    <xf numFmtId="164" fontId="0" fillId="6" borderId="0" xfId="1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right" vertical="center"/>
    </xf>
    <xf numFmtId="168" fontId="0" fillId="0" borderId="0" xfId="1" applyNumberFormat="1" applyFont="1" applyFill="1" applyAlignment="1">
      <alignment vertical="center"/>
    </xf>
    <xf numFmtId="168" fontId="0" fillId="6" borderId="0" xfId="1" applyNumberFormat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6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67" fontId="2" fillId="6" borderId="0" xfId="3" applyNumberFormat="1" applyFont="1" applyFill="1" applyAlignment="1">
      <alignment vertical="center"/>
    </xf>
    <xf numFmtId="167" fontId="0" fillId="6" borderId="0" xfId="3" applyNumberFormat="1" applyFont="1" applyFill="1" applyAlignment="1">
      <alignment vertical="center"/>
    </xf>
    <xf numFmtId="166" fontId="0" fillId="2" borderId="0" xfId="0" applyNumberFormat="1" applyFill="1" applyAlignment="1">
      <alignment vertical="center"/>
    </xf>
    <xf numFmtId="166" fontId="0" fillId="2" borderId="0" xfId="2" applyNumberFormat="1" applyFont="1" applyFill="1" applyAlignment="1">
      <alignment vertical="center"/>
    </xf>
    <xf numFmtId="0" fontId="0" fillId="0" borderId="0" xfId="0" applyFont="1" applyAlignment="1">
      <alignment vertical="center"/>
    </xf>
    <xf numFmtId="9" fontId="0" fillId="8" borderId="0" xfId="0" applyNumberFormat="1" applyFont="1" applyFill="1" applyAlignment="1">
      <alignment vertical="center"/>
    </xf>
    <xf numFmtId="9" fontId="0" fillId="8" borderId="0" xfId="0" applyNumberFormat="1" applyFont="1" applyFill="1" applyAlignment="1">
      <alignment vertical="center" wrapText="1"/>
    </xf>
    <xf numFmtId="168" fontId="0" fillId="8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horizontal="center" vertical="center" wrapText="1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w Curtis" id="{3F020F37-F00F-47D8-B490-26F2BC355DFD}" userId="S::Andrew@primaryinsight.co.nz::51ee8125-cd4c-4617-aa9f-39f5625d09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7" dT="2024-05-27T12:08:32.37" personId="{3F020F37-F00F-47D8-B490-26F2BC355DFD}" id="{CD5F2A5A-067C-469E-B78B-61D3E9E0B88C}">
    <text>Made 0 as no production in June</text>
  </threadedComment>
  <threadedComment ref="E67" dT="2024-05-27T12:09:24.32" personId="{3F020F37-F00F-47D8-B490-26F2BC355DFD}" id="{993A3A50-425D-40CE-8CE9-D85B07B351B4}">
    <text xml:space="preserve">Use Canterbury start of calving date so now cows before 28 July
 </text>
  </threadedComment>
  <threadedComment ref="G67" dT="2024-05-27T12:09:48.45" personId="{3F020F37-F00F-47D8-B490-26F2BC355DFD}" id="{8B862359-01D8-4B08-8280-4B5869723E52}">
    <text>Make peak milk month with maximum cows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bnz.govt.nz/statistics/series/registered-banks/banks-assets-agriculture-loans-by-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6306-6621-4161-B50E-1DF80115364C}">
  <dimension ref="B2:P15"/>
  <sheetViews>
    <sheetView topLeftCell="H1" workbookViewId="0">
      <selection activeCell="L14" sqref="L14"/>
    </sheetView>
  </sheetViews>
  <sheetFormatPr defaultColWidth="16.9296875" defaultRowHeight="14.25" x14ac:dyDescent="0.45"/>
  <cols>
    <col min="1" max="1" width="3.33203125" style="6" customWidth="1"/>
    <col min="2" max="2" width="16.9296875" style="6"/>
    <col min="3" max="14" width="14.9296875" style="6" customWidth="1"/>
    <col min="15" max="15" width="14.9296875" style="15" customWidth="1"/>
    <col min="16" max="16384" width="16.9296875" style="6"/>
  </cols>
  <sheetData>
    <row r="2" spans="2:16" x14ac:dyDescent="0.45">
      <c r="B2" s="15" t="s">
        <v>56</v>
      </c>
    </row>
    <row r="3" spans="2:16" s="18" customFormat="1" ht="28.5" x14ac:dyDescent="0.45">
      <c r="B3" s="18" t="s">
        <v>57</v>
      </c>
      <c r="C3" s="18" t="s">
        <v>0</v>
      </c>
      <c r="D3" s="18" t="s">
        <v>1</v>
      </c>
      <c r="E3" s="18" t="s">
        <v>55</v>
      </c>
      <c r="F3" s="18" t="s">
        <v>54</v>
      </c>
      <c r="G3" s="18" t="s">
        <v>48</v>
      </c>
      <c r="H3" s="18" t="s">
        <v>2</v>
      </c>
      <c r="I3" s="18" t="s">
        <v>3</v>
      </c>
      <c r="J3" s="18" t="s">
        <v>4</v>
      </c>
      <c r="K3" s="18" t="s">
        <v>52</v>
      </c>
      <c r="L3" s="18" t="s">
        <v>53</v>
      </c>
      <c r="M3" s="18" t="s">
        <v>51</v>
      </c>
      <c r="N3" s="18" t="s">
        <v>51</v>
      </c>
      <c r="O3" s="18" t="s">
        <v>50</v>
      </c>
      <c r="P3" s="18" t="s">
        <v>139</v>
      </c>
    </row>
    <row r="4" spans="2:16" x14ac:dyDescent="0.45">
      <c r="D4" s="13"/>
      <c r="E4" s="13"/>
      <c r="F4" s="14"/>
      <c r="G4" s="13"/>
      <c r="H4" s="13"/>
      <c r="I4" s="13"/>
      <c r="J4" s="13"/>
      <c r="L4" s="13"/>
      <c r="M4" s="13"/>
      <c r="N4" s="13"/>
      <c r="O4" s="19"/>
    </row>
    <row r="5" spans="2:16" x14ac:dyDescent="0.45">
      <c r="B5" s="54" t="s">
        <v>135</v>
      </c>
      <c r="G5" s="13"/>
      <c r="H5" s="13"/>
      <c r="I5" s="13"/>
      <c r="J5" s="13"/>
      <c r="L5" s="13"/>
      <c r="M5" s="13"/>
      <c r="N5" s="13"/>
      <c r="O5" s="19"/>
    </row>
    <row r="6" spans="2:16" x14ac:dyDescent="0.45">
      <c r="B6" s="54" t="s">
        <v>149</v>
      </c>
      <c r="G6" s="13"/>
      <c r="H6" s="13"/>
      <c r="I6" s="13"/>
      <c r="J6" s="13"/>
      <c r="L6" s="13"/>
      <c r="M6" s="13"/>
      <c r="N6" s="13"/>
      <c r="O6" s="19"/>
    </row>
    <row r="7" spans="2:16" x14ac:dyDescent="0.45">
      <c r="B7" s="6" t="s">
        <v>7</v>
      </c>
      <c r="C7" s="85" t="str">
        <f>'FCE calculation Original'!C6</f>
        <v>2022-23</v>
      </c>
      <c r="D7" s="13">
        <v>697292</v>
      </c>
      <c r="E7" s="13">
        <v>200849</v>
      </c>
      <c r="F7" s="14">
        <f>D7/E7</f>
        <v>3.4717225378269245</v>
      </c>
      <c r="G7" s="13">
        <v>301907445</v>
      </c>
      <c r="H7" s="13">
        <v>434</v>
      </c>
      <c r="I7" s="13">
        <v>1503</v>
      </c>
      <c r="J7" s="13">
        <v>482</v>
      </c>
      <c r="K7" s="13">
        <f>'Dairybase (North Cant) stats'!AR3*1000</f>
        <v>4574.9700990585852</v>
      </c>
      <c r="L7" s="13">
        <f>('Dairybase (North Cant) stats'!AF3+'Dairybase (North Cant) stats'!AG3+'Dairybase (North Cant) stats'!AH3)*1000</f>
        <v>15883.026802785967</v>
      </c>
      <c r="M7" s="13">
        <f>D7*K7</f>
        <v>3190090050.3127589</v>
      </c>
      <c r="N7" s="13">
        <f>E7*L7</f>
        <v>3190090050.3127589</v>
      </c>
      <c r="O7" s="19">
        <f>M7/G7</f>
        <v>10.566450424277411</v>
      </c>
      <c r="P7" s="80">
        <f>O7*$C$13</f>
        <v>116.23095466705152</v>
      </c>
    </row>
    <row r="8" spans="2:16" x14ac:dyDescent="0.45">
      <c r="B8" s="6" t="s">
        <v>7</v>
      </c>
      <c r="C8" s="85" t="str">
        <f>'FCE calculation Original'!C7</f>
        <v>2021-22</v>
      </c>
      <c r="D8" s="13">
        <v>720520</v>
      </c>
      <c r="E8" s="13">
        <v>206707</v>
      </c>
      <c r="F8" s="14">
        <f t="shared" ref="F8:F10" si="0">D8/E8</f>
        <v>3.4857068217331779</v>
      </c>
      <c r="G8" s="13">
        <v>302680670</v>
      </c>
      <c r="H8" s="13">
        <v>420</v>
      </c>
      <c r="I8" s="13">
        <v>1464</v>
      </c>
      <c r="J8" s="13">
        <v>486</v>
      </c>
      <c r="K8" s="13">
        <f>'Dairybase (North Cant) stats'!AR4*1000</f>
        <v>4671.7170250310865</v>
      </c>
      <c r="L8" s="13">
        <f>('Dairybase (North Cant) stats'!AF4+'Dairybase (North Cant) stats'!AG4+'Dairybase (North Cant) stats'!AH4)*1000</f>
        <v>16284.235903357885</v>
      </c>
      <c r="M8" s="13">
        <f>D8*K8</f>
        <v>3366065550.8753986</v>
      </c>
      <c r="N8" s="13">
        <f t="shared" ref="N8:N9" si="1">E8*L8</f>
        <v>3366065550.8753982</v>
      </c>
      <c r="O8" s="19">
        <f t="shared" ref="O8:O10" si="2">M8/G8</f>
        <v>11.120847429323447</v>
      </c>
      <c r="P8" s="80">
        <f t="shared" ref="P8:P11" si="3">O8*$C$13</f>
        <v>122.32932172255792</v>
      </c>
    </row>
    <row r="9" spans="2:16" x14ac:dyDescent="0.45">
      <c r="B9" s="6" t="s">
        <v>7</v>
      </c>
      <c r="C9" s="85" t="str">
        <f>'FCE calculation Original'!C8</f>
        <v>2020-21</v>
      </c>
      <c r="D9" s="13">
        <v>723148</v>
      </c>
      <c r="E9" s="13">
        <v>207637</v>
      </c>
      <c r="F9" s="14">
        <f t="shared" si="0"/>
        <v>3.4827511474351875</v>
      </c>
      <c r="G9" s="13">
        <v>315587803</v>
      </c>
      <c r="H9" s="13">
        <v>436</v>
      </c>
      <c r="I9" s="13">
        <v>1520</v>
      </c>
      <c r="J9" s="13">
        <v>458</v>
      </c>
      <c r="K9" s="13">
        <f>'Dairybase (North Cant) stats'!AR5*1000</f>
        <v>5062.0334304741691</v>
      </c>
      <c r="L9" s="13">
        <f>('Dairybase (North Cant) stats'!AF5+'Dairybase (North Cant) stats'!AG5+'Dairybase (North Cant) stats'!AH5)*1000</f>
        <v>17629.802738339189</v>
      </c>
      <c r="M9" s="13">
        <f t="shared" ref="M9:M10" si="4">D9*K9</f>
        <v>3660599351.1805344</v>
      </c>
      <c r="N9" s="13">
        <f t="shared" si="1"/>
        <v>3660599351.1805344</v>
      </c>
      <c r="O9" s="19">
        <f t="shared" si="2"/>
        <v>11.599305538371945</v>
      </c>
      <c r="P9" s="80">
        <f t="shared" si="3"/>
        <v>127.5923609220914</v>
      </c>
    </row>
    <row r="10" spans="2:16" x14ac:dyDescent="0.45">
      <c r="B10" s="6" t="s">
        <v>7</v>
      </c>
      <c r="C10" s="85" t="str">
        <f>'FCE calculation Original'!C9</f>
        <v>2019-20</v>
      </c>
      <c r="D10" s="13">
        <v>719289</v>
      </c>
      <c r="E10" s="13">
        <v>206790</v>
      </c>
      <c r="F10" s="14">
        <f t="shared" si="0"/>
        <v>3.4783548527491659</v>
      </c>
      <c r="G10" s="13">
        <v>312626067</v>
      </c>
      <c r="H10" s="13">
        <v>435</v>
      </c>
      <c r="I10" s="13">
        <v>1512</v>
      </c>
      <c r="J10" s="13">
        <v>451</v>
      </c>
      <c r="K10" s="13">
        <f>'Dairybase (North Cant) stats'!AR6*1000</f>
        <v>5002.2450003611975</v>
      </c>
      <c r="L10" s="13">
        <f>('Dairybase (North Cant) stats'!AF6+'Dairybase (North Cant) stats'!AG6+'Dairybase (North Cant) stats'!AH6)*1000</f>
        <v>17399.583171646627</v>
      </c>
      <c r="M10" s="13">
        <f t="shared" si="4"/>
        <v>3598059804.0648055</v>
      </c>
      <c r="N10" s="13">
        <f>E10*L10</f>
        <v>3598059804.064806</v>
      </c>
      <c r="O10" s="19">
        <f t="shared" si="2"/>
        <v>11.509148416804301</v>
      </c>
      <c r="P10" s="80">
        <f t="shared" si="3"/>
        <v>126.60063258484732</v>
      </c>
    </row>
    <row r="11" spans="2:16" s="15" customFormat="1" ht="15.75" x14ac:dyDescent="0.45">
      <c r="B11" s="15" t="s">
        <v>49</v>
      </c>
      <c r="C11" s="86"/>
      <c r="D11" s="16"/>
      <c r="E11" s="16"/>
      <c r="F11" s="19">
        <f>AVERAGE(F7:F10)</f>
        <v>3.4796338399361142</v>
      </c>
      <c r="G11" s="16"/>
      <c r="H11" s="16"/>
      <c r="I11" s="16"/>
      <c r="J11" s="16"/>
      <c r="K11" s="13"/>
      <c r="L11" s="16"/>
      <c r="M11" s="13"/>
      <c r="N11" s="13"/>
      <c r="O11" s="79">
        <f>AVERAGE(O7:O10)</f>
        <v>11.198937952194276</v>
      </c>
      <c r="P11" s="81">
        <f t="shared" si="3"/>
        <v>123.18831747413704</v>
      </c>
    </row>
    <row r="12" spans="2:16" x14ac:dyDescent="0.45">
      <c r="C12" s="85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6"/>
    </row>
    <row r="13" spans="2:16" x14ac:dyDescent="0.45">
      <c r="B13" s="6" t="s">
        <v>138</v>
      </c>
      <c r="C13" s="87">
        <v>11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6"/>
    </row>
    <row r="14" spans="2:16" x14ac:dyDescent="0.45">
      <c r="B14" s="6" t="s">
        <v>137</v>
      </c>
      <c r="C14" s="88">
        <v>0.22</v>
      </c>
      <c r="K14" s="13"/>
      <c r="M14" s="13"/>
      <c r="N14" s="13"/>
    </row>
    <row r="15" spans="2:16" x14ac:dyDescent="0.45">
      <c r="C15" s="85"/>
      <c r="K15" s="13"/>
      <c r="M15" s="13"/>
      <c r="N1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1680-5412-4F2F-BD9E-034A60C5FDB0}">
  <dimension ref="B2:N44"/>
  <sheetViews>
    <sheetView tabSelected="1" workbookViewId="0">
      <selection activeCell="B20" sqref="B20"/>
    </sheetView>
  </sheetViews>
  <sheetFormatPr defaultRowHeight="14.25" x14ac:dyDescent="0.45"/>
  <cols>
    <col min="1" max="1" width="4.19921875" style="23" customWidth="1"/>
    <col min="2" max="2" width="20.6640625" style="23" customWidth="1"/>
    <col min="3" max="13" width="14" style="23" customWidth="1"/>
    <col min="14" max="14" width="13.59765625" style="23" customWidth="1"/>
    <col min="15" max="16384" width="9.06640625" style="23"/>
  </cols>
  <sheetData>
    <row r="2" spans="2:14" x14ac:dyDescent="0.45">
      <c r="B2" s="24" t="s">
        <v>176</v>
      </c>
    </row>
    <row r="3" spans="2:14" s="24" customFormat="1" ht="42.75" x14ac:dyDescent="0.45">
      <c r="B3" s="24" t="s">
        <v>148</v>
      </c>
      <c r="C3" s="110" t="s">
        <v>173</v>
      </c>
      <c r="D3" s="110"/>
      <c r="E3" s="110"/>
      <c r="G3" s="109" t="s">
        <v>171</v>
      </c>
      <c r="H3" s="109"/>
      <c r="I3" s="18" t="s">
        <v>172</v>
      </c>
    </row>
    <row r="4" spans="2:14" s="24" customFormat="1" ht="28.5" x14ac:dyDescent="0.45">
      <c r="B4" s="25" t="s">
        <v>4</v>
      </c>
      <c r="C4" s="18" t="s">
        <v>196</v>
      </c>
      <c r="D4" s="18" t="s">
        <v>197</v>
      </c>
      <c r="E4" s="18" t="s">
        <v>195</v>
      </c>
      <c r="F4" s="18"/>
      <c r="G4" s="18" t="s">
        <v>183</v>
      </c>
      <c r="H4" s="18" t="s">
        <v>181</v>
      </c>
      <c r="I4" s="18" t="s">
        <v>182</v>
      </c>
    </row>
    <row r="5" spans="2:14" x14ac:dyDescent="0.45">
      <c r="B5" s="23">
        <v>425</v>
      </c>
      <c r="C5" s="67">
        <v>891</v>
      </c>
      <c r="D5" s="67">
        <v>2455</v>
      </c>
      <c r="E5" s="67">
        <v>3346</v>
      </c>
      <c r="F5" s="102"/>
      <c r="G5" s="107">
        <f>C5/SUM($C$33:$C$39)</f>
        <v>4.2028301886792452</v>
      </c>
      <c r="H5" s="107">
        <f>D5/SUM($C$40:$C$44,$C$33:$C$39)</f>
        <v>6.7260273972602738</v>
      </c>
      <c r="I5" s="107">
        <f>E5/SUM($C$40:$C$44,$C$33:$C$39,$C$33:$C$39)</f>
        <v>5.7989601386481802</v>
      </c>
    </row>
    <row r="6" spans="2:14" x14ac:dyDescent="0.45">
      <c r="B6" s="23">
        <v>450</v>
      </c>
      <c r="C6" s="67">
        <v>953</v>
      </c>
      <c r="D6" s="67">
        <v>2535</v>
      </c>
      <c r="E6" s="67">
        <v>3488</v>
      </c>
      <c r="F6" s="102"/>
      <c r="G6" s="107">
        <f>C6/SUM($C$33:$C$39)</f>
        <v>4.4952830188679247</v>
      </c>
      <c r="H6" s="107">
        <f>D6/SUM($C$40:$C$44,$C$33:$C$39)</f>
        <v>6.9452054794520546</v>
      </c>
      <c r="I6" s="107">
        <f>E6/SUM($C$40:$C$44,$C$33:$C$39,$C$33:$C$39)</f>
        <v>6.0450606585788558</v>
      </c>
    </row>
    <row r="7" spans="2:14" x14ac:dyDescent="0.45">
      <c r="B7" s="103">
        <v>475</v>
      </c>
      <c r="C7" s="104">
        <v>996</v>
      </c>
      <c r="D7" s="104">
        <v>2707</v>
      </c>
      <c r="E7" s="104">
        <v>3703</v>
      </c>
      <c r="F7" s="102"/>
      <c r="G7" s="108">
        <f>C7/SUM($C$33:$C$39)</f>
        <v>4.6981132075471699</v>
      </c>
      <c r="H7" s="108">
        <f>D7/SUM($C$40:$C$44,$C$33:$C$39)</f>
        <v>7.4164383561643836</v>
      </c>
      <c r="I7" s="108">
        <f>E7/SUM($C$40:$C$44,$C$33:$C$39,$C$33:$C$39)</f>
        <v>6.4176776429809355</v>
      </c>
    </row>
    <row r="8" spans="2:14" x14ac:dyDescent="0.45">
      <c r="B8" s="23">
        <v>500</v>
      </c>
      <c r="C8" s="67">
        <v>1011</v>
      </c>
      <c r="D8" s="67">
        <v>2727</v>
      </c>
      <c r="E8" s="67">
        <v>3738</v>
      </c>
      <c r="F8" s="102"/>
      <c r="G8" s="107">
        <f>C8/SUM($C$33:$C$39)</f>
        <v>4.7688679245283021</v>
      </c>
      <c r="H8" s="107">
        <f>D8/SUM($C$40:$C$44,$C$33:$C$39)</f>
        <v>7.4712328767123291</v>
      </c>
      <c r="I8" s="107">
        <f>E8/SUM($C$40:$C$44,$C$33:$C$39,$C$33:$C$39)</f>
        <v>6.4783362218370888</v>
      </c>
    </row>
    <row r="9" spans="2:14" x14ac:dyDescent="0.45">
      <c r="B9" s="23">
        <v>525</v>
      </c>
      <c r="C9" s="67">
        <v>1048</v>
      </c>
      <c r="D9" s="67">
        <v>2839</v>
      </c>
      <c r="E9" s="67">
        <v>3887</v>
      </c>
      <c r="F9" s="102"/>
      <c r="G9" s="107">
        <f>C9/SUM($C$33:$C$39)</f>
        <v>4.9433962264150946</v>
      </c>
      <c r="H9" s="107">
        <f>D9/SUM($C$40:$C$44,$C$33:$C$39)</f>
        <v>7.7780821917808218</v>
      </c>
      <c r="I9" s="107">
        <f>E9/SUM($C$40:$C$44,$C$33:$C$39,$C$33:$C$39)</f>
        <v>6.7365684575389944</v>
      </c>
    </row>
    <row r="10" spans="2:14" x14ac:dyDescent="0.45">
      <c r="B10" s="23">
        <v>550</v>
      </c>
      <c r="C10" s="67">
        <v>1117</v>
      </c>
      <c r="D10" s="67">
        <v>2995</v>
      </c>
      <c r="E10" s="67">
        <v>4112</v>
      </c>
      <c r="F10" s="102"/>
      <c r="G10" s="107">
        <f>C10/SUM($C$33:$C$39)</f>
        <v>5.2688679245283021</v>
      </c>
      <c r="H10" s="107">
        <f>D10/SUM($C$40:$C$44,$C$33:$C$39)</f>
        <v>8.205479452054794</v>
      </c>
      <c r="I10" s="107">
        <f>E10/SUM($C$40:$C$44,$C$33:$C$39,$C$33:$C$39)</f>
        <v>7.1265164644714041</v>
      </c>
    </row>
    <row r="11" spans="2:14" x14ac:dyDescent="0.45">
      <c r="G11" s="101" t="s">
        <v>174</v>
      </c>
      <c r="H11" s="24" t="s">
        <v>175</v>
      </c>
      <c r="I11" s="24" t="s">
        <v>174</v>
      </c>
    </row>
    <row r="12" spans="2:14" x14ac:dyDescent="0.45">
      <c r="G12" s="101"/>
      <c r="H12" s="24"/>
      <c r="I12" s="24"/>
    </row>
    <row r="13" spans="2:14" s="24" customFormat="1" x14ac:dyDescent="0.45">
      <c r="C13" s="23"/>
      <c r="D13" s="23"/>
      <c r="E13" s="23"/>
      <c r="F13" s="23"/>
      <c r="G13" s="101"/>
      <c r="J13" s="23"/>
    </row>
    <row r="14" spans="2:14" x14ac:dyDescent="0.45">
      <c r="B14" s="24" t="s">
        <v>192</v>
      </c>
      <c r="G14" s="101"/>
      <c r="H14" s="24"/>
      <c r="I14" s="24"/>
    </row>
    <row r="15" spans="2:14" s="24" customFormat="1" x14ac:dyDescent="0.45">
      <c r="B15" s="24" t="s">
        <v>194</v>
      </c>
      <c r="C15" s="25" t="s">
        <v>193</v>
      </c>
      <c r="D15" s="25" t="s">
        <v>12</v>
      </c>
      <c r="E15" s="25" t="s">
        <v>13</v>
      </c>
      <c r="F15" s="25" t="s">
        <v>14</v>
      </c>
      <c r="G15" s="25" t="s">
        <v>15</v>
      </c>
      <c r="H15" s="25" t="s">
        <v>16</v>
      </c>
      <c r="I15" s="25" t="s">
        <v>17</v>
      </c>
      <c r="J15" s="25" t="s">
        <v>18</v>
      </c>
      <c r="K15" s="25" t="s">
        <v>19</v>
      </c>
      <c r="L15" s="25" t="s">
        <v>20</v>
      </c>
      <c r="M15" s="25" t="s">
        <v>9</v>
      </c>
      <c r="N15" s="25" t="s">
        <v>10</v>
      </c>
    </row>
    <row r="16" spans="2:14" s="118" customFormat="1" ht="28.5" x14ac:dyDescent="0.45">
      <c r="B16" s="101" t="s">
        <v>199</v>
      </c>
      <c r="C16" s="119">
        <v>0.22</v>
      </c>
      <c r="D16" s="119">
        <v>0.22</v>
      </c>
      <c r="E16" s="119">
        <v>0.22</v>
      </c>
      <c r="F16" s="119">
        <v>0.22</v>
      </c>
      <c r="G16" s="119">
        <v>0.44</v>
      </c>
      <c r="H16" s="120">
        <v>0.44</v>
      </c>
      <c r="I16" s="119">
        <v>0.44</v>
      </c>
      <c r="J16" s="120">
        <v>0.44</v>
      </c>
      <c r="K16" s="119">
        <v>0.44</v>
      </c>
      <c r="L16" s="120">
        <v>0.44</v>
      </c>
      <c r="M16" s="119">
        <v>0.44</v>
      </c>
      <c r="N16" s="120">
        <v>0.44</v>
      </c>
    </row>
    <row r="17" spans="2:14" x14ac:dyDescent="0.45">
      <c r="B17" s="24" t="s">
        <v>198</v>
      </c>
      <c r="C17" s="121">
        <f>$I$7</f>
        <v>6.4176776429809355</v>
      </c>
      <c r="D17" s="121">
        <f t="shared" ref="D17:N17" si="0">$I$7</f>
        <v>6.4176776429809355</v>
      </c>
      <c r="E17" s="121">
        <f t="shared" si="0"/>
        <v>6.4176776429809355</v>
      </c>
      <c r="F17" s="121">
        <f t="shared" si="0"/>
        <v>6.4176776429809355</v>
      </c>
      <c r="G17" s="121">
        <f t="shared" si="0"/>
        <v>6.4176776429809355</v>
      </c>
      <c r="H17" s="121">
        <f t="shared" si="0"/>
        <v>6.4176776429809355</v>
      </c>
      <c r="I17" s="121">
        <f t="shared" si="0"/>
        <v>6.4176776429809355</v>
      </c>
      <c r="J17" s="121">
        <f t="shared" si="0"/>
        <v>6.4176776429809355</v>
      </c>
      <c r="K17" s="121">
        <f t="shared" si="0"/>
        <v>6.4176776429809355</v>
      </c>
      <c r="L17" s="121">
        <f t="shared" si="0"/>
        <v>6.4176776429809355</v>
      </c>
      <c r="M17" s="121">
        <f t="shared" si="0"/>
        <v>6.4176776429809355</v>
      </c>
      <c r="N17" s="121">
        <f t="shared" si="0"/>
        <v>6.4176776429809355</v>
      </c>
    </row>
    <row r="18" spans="2:14" x14ac:dyDescent="0.45">
      <c r="G18" s="105"/>
    </row>
    <row r="19" spans="2:14" x14ac:dyDescent="0.45">
      <c r="C19" s="24"/>
      <c r="D19" s="24"/>
      <c r="E19" s="24"/>
      <c r="F19" s="24"/>
      <c r="G19" s="24"/>
      <c r="H19" s="24"/>
      <c r="I19" s="24"/>
      <c r="J19" s="24"/>
    </row>
    <row r="20" spans="2:14" x14ac:dyDescent="0.45">
      <c r="B20" s="24" t="s">
        <v>177</v>
      </c>
      <c r="C20" s="110" t="s">
        <v>179</v>
      </c>
      <c r="D20" s="110"/>
      <c r="E20" s="110"/>
      <c r="F20" s="110"/>
    </row>
    <row r="21" spans="2:14" x14ac:dyDescent="0.45">
      <c r="B21" s="24" t="s">
        <v>4</v>
      </c>
      <c r="C21" s="106" t="s">
        <v>178</v>
      </c>
      <c r="D21" s="24">
        <v>8</v>
      </c>
      <c r="E21" s="24">
        <v>4</v>
      </c>
      <c r="F21" s="24">
        <v>2</v>
      </c>
      <c r="G21" s="24"/>
      <c r="H21" s="24"/>
      <c r="I21" s="24"/>
      <c r="J21" s="24"/>
    </row>
    <row r="22" spans="2:14" x14ac:dyDescent="0.45">
      <c r="B22" s="23">
        <v>350</v>
      </c>
      <c r="C22" s="23">
        <v>5</v>
      </c>
      <c r="D22" s="23">
        <v>5.7</v>
      </c>
      <c r="E22" s="23">
        <v>6.8</v>
      </c>
      <c r="F22" s="23">
        <v>7.7</v>
      </c>
    </row>
    <row r="23" spans="2:14" x14ac:dyDescent="0.45">
      <c r="B23" s="23">
        <v>400</v>
      </c>
      <c r="C23" s="23">
        <v>5.5</v>
      </c>
      <c r="D23" s="23">
        <v>6.3</v>
      </c>
      <c r="E23" s="23">
        <v>7.6</v>
      </c>
      <c r="F23" s="23">
        <v>8.5</v>
      </c>
    </row>
    <row r="24" spans="2:14" x14ac:dyDescent="0.45">
      <c r="B24" s="103">
        <v>450</v>
      </c>
      <c r="C24" s="103">
        <v>6</v>
      </c>
      <c r="D24" s="103">
        <v>6.8</v>
      </c>
      <c r="E24" s="103">
        <v>8.3000000000000007</v>
      </c>
      <c r="F24" s="103">
        <v>9.3000000000000007</v>
      </c>
    </row>
    <row r="25" spans="2:14" x14ac:dyDescent="0.45">
      <c r="B25" s="23">
        <v>500</v>
      </c>
      <c r="C25" s="23">
        <v>6.5</v>
      </c>
      <c r="D25" s="23">
        <v>7.4</v>
      </c>
      <c r="E25" s="23">
        <v>9</v>
      </c>
      <c r="F25" s="23">
        <v>10.1</v>
      </c>
    </row>
    <row r="26" spans="2:14" x14ac:dyDescent="0.45">
      <c r="B26" s="23">
        <v>550</v>
      </c>
      <c r="C26" s="23">
        <v>7</v>
      </c>
      <c r="D26" s="23">
        <v>8</v>
      </c>
      <c r="E26" s="23">
        <v>9.6</v>
      </c>
      <c r="F26" s="23">
        <v>10.8</v>
      </c>
    </row>
    <row r="28" spans="2:14" x14ac:dyDescent="0.45">
      <c r="B28" s="24" t="s">
        <v>191</v>
      </c>
    </row>
    <row r="29" spans="2:14" s="24" customFormat="1" x14ac:dyDescent="0.45">
      <c r="B29" s="24" t="s">
        <v>194</v>
      </c>
      <c r="C29" s="25" t="s">
        <v>11</v>
      </c>
      <c r="D29" s="25" t="s">
        <v>12</v>
      </c>
      <c r="E29" s="25" t="s">
        <v>13</v>
      </c>
      <c r="F29" s="25" t="s">
        <v>14</v>
      </c>
      <c r="G29" s="25" t="s">
        <v>15</v>
      </c>
      <c r="H29" s="25" t="s">
        <v>16</v>
      </c>
      <c r="I29" s="25" t="s">
        <v>17</v>
      </c>
      <c r="J29" s="25" t="s">
        <v>18</v>
      </c>
      <c r="K29" s="25" t="s">
        <v>19</v>
      </c>
      <c r="L29" s="25" t="s">
        <v>20</v>
      </c>
      <c r="M29" s="25" t="s">
        <v>190</v>
      </c>
      <c r="N29" s="25" t="s">
        <v>10</v>
      </c>
    </row>
    <row r="30" spans="2:14" x14ac:dyDescent="0.45">
      <c r="B30" s="24" t="s">
        <v>198</v>
      </c>
      <c r="C30" s="122">
        <v>6</v>
      </c>
      <c r="D30" s="122">
        <v>6</v>
      </c>
      <c r="E30" s="122">
        <v>6</v>
      </c>
      <c r="F30" s="122">
        <v>6</v>
      </c>
      <c r="G30" s="122">
        <v>6</v>
      </c>
      <c r="H30" s="122">
        <v>6</v>
      </c>
      <c r="I30" s="122">
        <v>6</v>
      </c>
      <c r="J30" s="122">
        <v>6</v>
      </c>
      <c r="K30" s="122">
        <v>6</v>
      </c>
      <c r="L30" s="122">
        <v>6.8</v>
      </c>
      <c r="M30" s="122">
        <v>8.3000000000000007</v>
      </c>
      <c r="N30" s="122">
        <v>9.3000000000000007</v>
      </c>
    </row>
    <row r="32" spans="2:14" s="123" customFormat="1" ht="28.5" x14ac:dyDescent="0.45">
      <c r="B32" s="18"/>
      <c r="C32" s="18" t="s">
        <v>180</v>
      </c>
      <c r="D32" s="18" t="s">
        <v>200</v>
      </c>
    </row>
    <row r="33" spans="2:4" x14ac:dyDescent="0.45">
      <c r="B33" s="24" t="s">
        <v>15</v>
      </c>
      <c r="C33" s="23">
        <v>31</v>
      </c>
      <c r="D33" s="23">
        <v>4</v>
      </c>
    </row>
    <row r="34" spans="2:4" x14ac:dyDescent="0.45">
      <c r="B34" s="24" t="s">
        <v>16</v>
      </c>
      <c r="C34" s="23">
        <v>31</v>
      </c>
      <c r="D34" s="23">
        <v>5</v>
      </c>
    </row>
    <row r="35" spans="2:4" x14ac:dyDescent="0.45">
      <c r="B35" s="24" t="s">
        <v>17</v>
      </c>
      <c r="C35" s="23">
        <v>28</v>
      </c>
      <c r="D35" s="23">
        <v>6</v>
      </c>
    </row>
    <row r="36" spans="2:4" x14ac:dyDescent="0.45">
      <c r="B36" s="24" t="s">
        <v>18</v>
      </c>
      <c r="C36" s="23">
        <v>31</v>
      </c>
      <c r="D36" s="23">
        <v>7</v>
      </c>
    </row>
    <row r="37" spans="2:4" x14ac:dyDescent="0.45">
      <c r="B37" s="24" t="s">
        <v>19</v>
      </c>
      <c r="C37" s="23">
        <v>30</v>
      </c>
      <c r="D37" s="23">
        <v>8</v>
      </c>
    </row>
    <row r="38" spans="2:4" x14ac:dyDescent="0.45">
      <c r="B38" s="24" t="s">
        <v>20</v>
      </c>
      <c r="C38" s="23">
        <v>31</v>
      </c>
      <c r="D38" s="23">
        <v>9</v>
      </c>
    </row>
    <row r="39" spans="2:4" x14ac:dyDescent="0.45">
      <c r="B39" s="24" t="s">
        <v>9</v>
      </c>
      <c r="C39" s="23">
        <v>30</v>
      </c>
      <c r="D39" s="23">
        <v>10</v>
      </c>
    </row>
    <row r="40" spans="2:4" x14ac:dyDescent="0.45">
      <c r="B40" s="24" t="s">
        <v>10</v>
      </c>
      <c r="C40" s="23">
        <v>31</v>
      </c>
      <c r="D40" s="23">
        <v>11</v>
      </c>
    </row>
    <row r="41" spans="2:4" x14ac:dyDescent="0.45">
      <c r="B41" s="24" t="s">
        <v>11</v>
      </c>
      <c r="C41" s="23">
        <v>31</v>
      </c>
      <c r="D41" s="23">
        <v>12</v>
      </c>
    </row>
    <row r="42" spans="2:4" x14ac:dyDescent="0.45">
      <c r="B42" s="24" t="s">
        <v>12</v>
      </c>
      <c r="C42" s="23">
        <v>30</v>
      </c>
      <c r="D42" s="23">
        <v>1</v>
      </c>
    </row>
    <row r="43" spans="2:4" x14ac:dyDescent="0.45">
      <c r="B43" s="24" t="s">
        <v>13</v>
      </c>
      <c r="C43" s="23">
        <v>31</v>
      </c>
      <c r="D43" s="23">
        <v>2</v>
      </c>
    </row>
    <row r="44" spans="2:4" x14ac:dyDescent="0.45">
      <c r="B44" s="24" t="s">
        <v>14</v>
      </c>
      <c r="C44" s="23">
        <v>30</v>
      </c>
      <c r="D44" s="23">
        <v>3</v>
      </c>
    </row>
  </sheetData>
  <mergeCells count="3">
    <mergeCell ref="G3:H3"/>
    <mergeCell ref="C3:E3"/>
    <mergeCell ref="C20:F20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AE3D-5B22-481A-A1E1-AC5BA3C27EB2}">
  <dimension ref="B2:AY9"/>
  <sheetViews>
    <sheetView topLeftCell="AE1" workbookViewId="0">
      <selection activeCell="AU7" sqref="AU7"/>
    </sheetView>
  </sheetViews>
  <sheetFormatPr defaultRowHeight="14.25" x14ac:dyDescent="0.45"/>
  <cols>
    <col min="1" max="5" width="9.06640625" style="6"/>
    <col min="6" max="6" width="10" style="6" bestFit="1" customWidth="1"/>
    <col min="7" max="7" width="9.06640625" style="6"/>
    <col min="8" max="8" width="10.796875" style="6" customWidth="1"/>
    <col min="9" max="9" width="11.06640625" style="6" customWidth="1"/>
    <col min="10" max="11" width="11.86328125" style="6" customWidth="1"/>
    <col min="12" max="12" width="11.06640625" style="6" customWidth="1"/>
    <col min="13" max="14" width="12.53125" style="6" customWidth="1"/>
    <col min="15" max="16" width="9.06640625" style="6"/>
    <col min="17" max="17" width="11.19921875" style="6" customWidth="1"/>
    <col min="18" max="19" width="9.06640625" style="6"/>
    <col min="20" max="20" width="12.796875" style="6" customWidth="1"/>
    <col min="21" max="21" width="10.9296875" style="6" customWidth="1"/>
    <col min="22" max="22" width="10.1328125" style="6" customWidth="1"/>
    <col min="23" max="23" width="13.33203125" style="6" customWidth="1"/>
    <col min="24" max="25" width="14.265625" style="6" customWidth="1"/>
    <col min="26" max="26" width="9.06640625" style="6"/>
    <col min="27" max="27" width="13.19921875" style="6" customWidth="1"/>
    <col min="28" max="28" width="11.73046875" style="6" customWidth="1"/>
    <col min="29" max="30" width="9.06640625" style="6"/>
    <col min="31" max="31" width="10.9296875" style="6" customWidth="1"/>
    <col min="32" max="32" width="10.265625" style="6" customWidth="1"/>
    <col min="33" max="33" width="15.33203125" style="6" customWidth="1"/>
    <col min="34" max="34" width="16" style="6" customWidth="1"/>
    <col min="35" max="35" width="12.3984375" style="6" customWidth="1"/>
    <col min="36" max="36" width="11.1328125" style="6" customWidth="1"/>
    <col min="37" max="37" width="9.73046875" style="6" customWidth="1"/>
    <col min="38" max="38" width="14.73046875" style="6" customWidth="1"/>
    <col min="39" max="42" width="9.06640625" style="6"/>
    <col min="43" max="45" width="12.3984375" style="6" customWidth="1"/>
    <col min="46" max="49" width="12.3984375" style="1" customWidth="1"/>
    <col min="50" max="51" width="12.3984375" style="6" customWidth="1"/>
    <col min="52" max="16384" width="9.06640625" style="6"/>
  </cols>
  <sheetData>
    <row r="2" spans="2:51" s="22" customFormat="1" ht="99.75" x14ac:dyDescent="0.45">
      <c r="B2" s="17" t="s">
        <v>0</v>
      </c>
      <c r="C2" s="17" t="s">
        <v>22</v>
      </c>
      <c r="D2" s="17" t="s">
        <v>23</v>
      </c>
      <c r="E2" s="17" t="s">
        <v>24</v>
      </c>
      <c r="F2" s="20" t="s">
        <v>25</v>
      </c>
      <c r="G2" s="17" t="s">
        <v>26</v>
      </c>
      <c r="H2" s="17" t="s">
        <v>27</v>
      </c>
      <c r="I2" s="17" t="s">
        <v>28</v>
      </c>
      <c r="J2" s="17" t="s">
        <v>96</v>
      </c>
      <c r="K2" s="17" t="s">
        <v>29</v>
      </c>
      <c r="L2" s="17" t="s">
        <v>92</v>
      </c>
      <c r="M2" s="17" t="s">
        <v>93</v>
      </c>
      <c r="N2" s="17" t="s">
        <v>94</v>
      </c>
      <c r="O2" s="17" t="s">
        <v>30</v>
      </c>
      <c r="P2" s="17" t="s">
        <v>31</v>
      </c>
      <c r="Q2" s="17" t="s">
        <v>32</v>
      </c>
      <c r="R2" s="17" t="s">
        <v>33</v>
      </c>
      <c r="S2" s="17" t="s">
        <v>34</v>
      </c>
      <c r="T2" s="17" t="s">
        <v>108</v>
      </c>
      <c r="U2" s="17" t="s">
        <v>97</v>
      </c>
      <c r="V2" s="17" t="s">
        <v>98</v>
      </c>
      <c r="W2" s="17" t="s">
        <v>99</v>
      </c>
      <c r="X2" s="17" t="s">
        <v>107</v>
      </c>
      <c r="Y2" s="17" t="s">
        <v>106</v>
      </c>
      <c r="Z2" s="17" t="s">
        <v>35</v>
      </c>
      <c r="AA2" s="17" t="s">
        <v>100</v>
      </c>
      <c r="AB2" s="17" t="s">
        <v>101</v>
      </c>
      <c r="AC2" s="17" t="s">
        <v>36</v>
      </c>
      <c r="AD2" s="17" t="s">
        <v>102</v>
      </c>
      <c r="AE2" s="17" t="s">
        <v>79</v>
      </c>
      <c r="AF2" s="20" t="s">
        <v>103</v>
      </c>
      <c r="AG2" s="20" t="s">
        <v>105</v>
      </c>
      <c r="AH2" s="20" t="s">
        <v>58</v>
      </c>
      <c r="AI2" s="20" t="s">
        <v>80</v>
      </c>
      <c r="AJ2" s="20" t="s">
        <v>37</v>
      </c>
      <c r="AK2" s="20" t="s">
        <v>38</v>
      </c>
      <c r="AL2" s="17" t="s">
        <v>104</v>
      </c>
      <c r="AM2" s="17" t="s">
        <v>39</v>
      </c>
      <c r="AN2" s="17" t="s">
        <v>40</v>
      </c>
      <c r="AO2" s="17" t="s">
        <v>41</v>
      </c>
      <c r="AP2" s="17" t="s">
        <v>42</v>
      </c>
      <c r="AQ2" s="21" t="s">
        <v>150</v>
      </c>
      <c r="AR2" s="21" t="s">
        <v>155</v>
      </c>
      <c r="AS2" s="21" t="s">
        <v>156</v>
      </c>
      <c r="AT2" s="21" t="s">
        <v>157</v>
      </c>
      <c r="AU2" s="21" t="s">
        <v>158</v>
      </c>
      <c r="AV2" s="89" t="s">
        <v>152</v>
      </c>
      <c r="AW2" s="89" t="s">
        <v>153</v>
      </c>
      <c r="AX2" s="90" t="s">
        <v>151</v>
      </c>
      <c r="AY2" s="90" t="s">
        <v>154</v>
      </c>
    </row>
    <row r="3" spans="2:51" ht="57" x14ac:dyDescent="0.45">
      <c r="B3" s="1" t="s">
        <v>5</v>
      </c>
      <c r="C3" s="1" t="s">
        <v>43</v>
      </c>
      <c r="D3" s="1" t="s">
        <v>44</v>
      </c>
      <c r="E3" s="1">
        <v>28</v>
      </c>
      <c r="F3" s="61">
        <v>4076.3366425779527</v>
      </c>
      <c r="G3" s="2">
        <v>16.223575762380875</v>
      </c>
      <c r="H3" s="2">
        <v>4092.560218340333</v>
      </c>
      <c r="I3" s="3">
        <v>6.469116476202634E-2</v>
      </c>
      <c r="J3" s="3">
        <v>1.0890769009255687</v>
      </c>
      <c r="K3" s="3">
        <v>3.0045479999856652E-2</v>
      </c>
      <c r="L3" s="3">
        <v>6.7143532468887948E-2</v>
      </c>
      <c r="M3" s="3">
        <v>1.1261749533946008</v>
      </c>
      <c r="N3" s="3">
        <v>0.63950146278423248</v>
      </c>
      <c r="O3" s="3">
        <v>0.13715001016456807</v>
      </c>
      <c r="P3" s="3">
        <v>6.5419259724285417E-2</v>
      </c>
      <c r="Q3" s="3">
        <v>0.12869152245931317</v>
      </c>
      <c r="R3" s="3">
        <v>0.97076225513239789</v>
      </c>
      <c r="S3" s="3">
        <v>2.0969372085269997</v>
      </c>
      <c r="T3" s="2">
        <v>1666.1337350478229</v>
      </c>
      <c r="U3" s="2">
        <v>44.312286999557351</v>
      </c>
      <c r="V3" s="2">
        <v>94.886936251901872</v>
      </c>
      <c r="W3" s="2">
        <v>1716.7083843001674</v>
      </c>
      <c r="X3" s="2" t="s">
        <v>95</v>
      </c>
      <c r="Y3" s="2">
        <v>205.71550646020333</v>
      </c>
      <c r="Z3" s="2">
        <v>80.110774961689486</v>
      </c>
      <c r="AA3" s="2">
        <v>157.36909155501243</v>
      </c>
      <c r="AB3" s="2">
        <v>1479.0342226069163</v>
      </c>
      <c r="AC3" s="2">
        <v>3195.7426069070857</v>
      </c>
      <c r="AD3" s="4">
        <v>13.806134936543566</v>
      </c>
      <c r="AE3" s="4">
        <v>0.28498339527186689</v>
      </c>
      <c r="AF3" s="12">
        <v>13.521151541271692</v>
      </c>
      <c r="AG3" s="12">
        <v>2.1813086315401562</v>
      </c>
      <c r="AH3" s="12">
        <v>0.18056662997411843</v>
      </c>
      <c r="AI3" s="12">
        <v>2.2151641499252106</v>
      </c>
      <c r="AJ3" s="12">
        <v>2.5931819450553304</v>
      </c>
      <c r="AK3" s="12">
        <v>20.691372897766517</v>
      </c>
      <c r="AL3" s="2">
        <v>667.80886638778031</v>
      </c>
      <c r="AM3" s="5">
        <v>0.48709038826418044</v>
      </c>
      <c r="AN3" s="5">
        <v>3.518968484380898E-2</v>
      </c>
      <c r="AO3" s="5">
        <v>9.2947998386792893E-2</v>
      </c>
      <c r="AP3" s="5">
        <v>3.5714021236244238E-2</v>
      </c>
      <c r="AQ3" s="7">
        <f>'FCE calculation'!F7</f>
        <v>3.4717225378269245</v>
      </c>
      <c r="AR3" s="8">
        <f>(AF3+AG3+AH3)/AQ3</f>
        <v>4.5749700990585849</v>
      </c>
      <c r="AS3" s="9">
        <f>(AF3)/AQ3</f>
        <v>3.8946521197903867</v>
      </c>
      <c r="AT3" s="10">
        <f>AR3-AS3</f>
        <v>0.68031797926819815</v>
      </c>
      <c r="AU3" s="11">
        <f>AT3/AR3</f>
        <v>0.14870435533735854</v>
      </c>
      <c r="AV3" s="91"/>
      <c r="AW3" s="91" t="e">
        <f>AJ3/AV3</f>
        <v>#DIV/0!</v>
      </c>
      <c r="AX3" s="92"/>
      <c r="AY3" s="92" t="e">
        <f>AI3/AX3</f>
        <v>#DIV/0!</v>
      </c>
    </row>
    <row r="4" spans="2:51" ht="57" x14ac:dyDescent="0.45">
      <c r="B4" s="1" t="s">
        <v>45</v>
      </c>
      <c r="C4" s="1" t="s">
        <v>43</v>
      </c>
      <c r="D4" s="1" t="s">
        <v>44</v>
      </c>
      <c r="E4" s="1">
        <v>27</v>
      </c>
      <c r="F4" s="61">
        <v>6120.4636617378928</v>
      </c>
      <c r="G4" s="2">
        <v>-9.8029851399646351</v>
      </c>
      <c r="H4" s="2">
        <v>6110.6606765979295</v>
      </c>
      <c r="I4" s="3">
        <v>7.0153414645503245E-2</v>
      </c>
      <c r="J4" s="3">
        <v>0.88313888338558466</v>
      </c>
      <c r="K4" s="3">
        <v>-2.0670993054993061E-2</v>
      </c>
      <c r="L4" s="3">
        <v>6.4528388284732494E-2</v>
      </c>
      <c r="M4" s="3">
        <v>0.96833826472530948</v>
      </c>
      <c r="N4" s="3">
        <v>0.4864239986487533</v>
      </c>
      <c r="O4" s="3">
        <v>0.10841719932169763</v>
      </c>
      <c r="P4" s="3">
        <v>8.1526065879802503E-2</v>
      </c>
      <c r="Q4" s="3">
        <v>0.13042716611800709</v>
      </c>
      <c r="R4" s="3">
        <v>0.80679442996826001</v>
      </c>
      <c r="S4" s="3">
        <v>1.7751326946935702</v>
      </c>
      <c r="T4" s="2">
        <v>1389.0947872345157</v>
      </c>
      <c r="U4" s="2">
        <v>-30.300790943906872</v>
      </c>
      <c r="V4" s="2">
        <v>96.093728996371183</v>
      </c>
      <c r="W4" s="2">
        <v>1515.4893071747938</v>
      </c>
      <c r="X4" s="2">
        <v>810.53202707841103</v>
      </c>
      <c r="Y4" s="2">
        <v>193.20674159332879</v>
      </c>
      <c r="Z4" s="2">
        <v>108.80596092831583</v>
      </c>
      <c r="AA4" s="2">
        <v>170.77370478402651</v>
      </c>
      <c r="AB4" s="2">
        <v>1283.3184343840819</v>
      </c>
      <c r="AC4" s="2">
        <v>2798.8077415588787</v>
      </c>
      <c r="AD4" s="4">
        <v>14.29397739035384</v>
      </c>
      <c r="AE4" s="4">
        <v>0.20434688705822082</v>
      </c>
      <c r="AF4" s="12">
        <v>14.089630503295618</v>
      </c>
      <c r="AG4" s="12">
        <v>2.0847380066144616</v>
      </c>
      <c r="AH4" s="12">
        <v>0.10986739344780255</v>
      </c>
      <c r="AI4" s="12">
        <v>2.2592502496786468</v>
      </c>
      <c r="AJ4" s="12">
        <v>2.7468114502035319</v>
      </c>
      <c r="AK4" s="12">
        <v>21.290297603240067</v>
      </c>
      <c r="AL4" s="2">
        <v>615.90357572162259</v>
      </c>
      <c r="AM4" s="5">
        <v>0.47562688865663649</v>
      </c>
      <c r="AN4" s="5">
        <v>0.10728758096349356</v>
      </c>
      <c r="AO4" s="5">
        <v>0.16522745732047195</v>
      </c>
      <c r="AP4" s="5">
        <v>0.205580326323447</v>
      </c>
      <c r="AQ4" s="7">
        <f>'FCE calculation'!F8</f>
        <v>3.4857068217331779</v>
      </c>
      <c r="AR4" s="8">
        <f t="shared" ref="AR4:AR6" si="0">(AF4+AG4+AH4)/AQ4</f>
        <v>4.6717170250310867</v>
      </c>
      <c r="AS4" s="9">
        <f t="shared" ref="AS4:AS6" si="1">(AF4)/AQ4</f>
        <v>4.0421157670081707</v>
      </c>
      <c r="AT4" s="10">
        <f t="shared" ref="AT4:AT6" si="2">AR4-AS4</f>
        <v>0.629601258022916</v>
      </c>
      <c r="AU4" s="11">
        <f t="shared" ref="AU4:AU6" si="3">AT4/AR4</f>
        <v>0.13476870594890675</v>
      </c>
      <c r="AV4" s="91"/>
      <c r="AW4" s="91" t="e">
        <f t="shared" ref="AW4:AW6" si="4">AJ4/AV4</f>
        <v>#DIV/0!</v>
      </c>
      <c r="AX4" s="92"/>
      <c r="AY4" s="92" t="e">
        <f t="shared" ref="AY4:AY6" si="5">AI4/AX4</f>
        <v>#DIV/0!</v>
      </c>
    </row>
    <row r="5" spans="2:51" ht="57" x14ac:dyDescent="0.45">
      <c r="B5" s="1" t="s">
        <v>46</v>
      </c>
      <c r="C5" s="1" t="s">
        <v>43</v>
      </c>
      <c r="D5" s="1" t="s">
        <v>44</v>
      </c>
      <c r="E5" s="1">
        <v>31</v>
      </c>
      <c r="F5" s="61">
        <v>4546.1295356266855</v>
      </c>
      <c r="G5" s="2">
        <v>2.8871760040832588</v>
      </c>
      <c r="H5" s="2">
        <v>4549.0167116307703</v>
      </c>
      <c r="I5" s="3">
        <v>5.479444572277941E-2</v>
      </c>
      <c r="J5" s="3">
        <v>0.84703957088618642</v>
      </c>
      <c r="K5" s="3">
        <v>-2.4249938694854006E-3</v>
      </c>
      <c r="L5" s="3">
        <v>4.4225073676897403E-2</v>
      </c>
      <c r="M5" s="3">
        <v>0.89368963843256899</v>
      </c>
      <c r="N5" s="3">
        <v>0.45701688234236887</v>
      </c>
      <c r="O5" s="3">
        <v>6.2412744071596513E-2</v>
      </c>
      <c r="P5" s="3">
        <v>2.8334430504735941E-2</v>
      </c>
      <c r="Q5" s="3">
        <v>0.13411229104988834</v>
      </c>
      <c r="R5" s="3">
        <v>0.68187634796858954</v>
      </c>
      <c r="S5" s="3">
        <v>1.5755659864011573</v>
      </c>
      <c r="T5" s="2">
        <v>1451.0781586216756</v>
      </c>
      <c r="U5" s="2">
        <v>-3.102826995899862</v>
      </c>
      <c r="V5" s="2">
        <v>77.395519647961393</v>
      </c>
      <c r="W5" s="2">
        <v>1531.5765052655363</v>
      </c>
      <c r="X5" s="2">
        <v>778.40944301134175</v>
      </c>
      <c r="Y5" s="2">
        <v>111.40083198616259</v>
      </c>
      <c r="Z5" s="2">
        <v>46.255364765151896</v>
      </c>
      <c r="AA5" s="2">
        <v>208.71321130349372</v>
      </c>
      <c r="AB5" s="2">
        <v>1144.7788510661494</v>
      </c>
      <c r="AC5" s="2">
        <v>2676.3553563316873</v>
      </c>
      <c r="AD5" s="4">
        <v>15.485006168396705</v>
      </c>
      <c r="AE5" s="4">
        <v>0.16912637240824768</v>
      </c>
      <c r="AF5" s="12">
        <v>15.315879795988455</v>
      </c>
      <c r="AG5" s="12">
        <v>2.2514814504352425</v>
      </c>
      <c r="AH5" s="12">
        <v>6.2441491915491427E-2</v>
      </c>
      <c r="AI5" s="12">
        <v>2.5213037672858238</v>
      </c>
      <c r="AJ5" s="12">
        <v>2.2998751720181954</v>
      </c>
      <c r="AK5" s="12">
        <v>22.450981677643227</v>
      </c>
      <c r="AL5" s="2">
        <v>631.9943186056064</v>
      </c>
      <c r="AM5" s="5">
        <v>0.51240263586759105</v>
      </c>
      <c r="AN5" s="5">
        <v>6.7669605655771667E-2</v>
      </c>
      <c r="AO5" s="5">
        <v>0.11307335971012</v>
      </c>
      <c r="AP5" s="5">
        <v>0.10909790923981669</v>
      </c>
      <c r="AQ5" s="7">
        <f>'FCE calculation'!F9</f>
        <v>3.4827511474351875</v>
      </c>
      <c r="AR5" s="8">
        <f t="shared" si="0"/>
        <v>5.0620334304741688</v>
      </c>
      <c r="AS5" s="9">
        <f t="shared" si="1"/>
        <v>4.3976382887039094</v>
      </c>
      <c r="AT5" s="10">
        <f t="shared" si="2"/>
        <v>0.66439514177025938</v>
      </c>
      <c r="AU5" s="11">
        <f t="shared" si="3"/>
        <v>0.13125064282873067</v>
      </c>
      <c r="AV5" s="91"/>
      <c r="AW5" s="91" t="e">
        <f t="shared" si="4"/>
        <v>#DIV/0!</v>
      </c>
      <c r="AX5" s="92"/>
      <c r="AY5" s="92" t="e">
        <f t="shared" si="5"/>
        <v>#DIV/0!</v>
      </c>
    </row>
    <row r="6" spans="2:51" ht="57" x14ac:dyDescent="0.45">
      <c r="B6" s="1" t="s">
        <v>47</v>
      </c>
      <c r="C6" s="1" t="s">
        <v>43</v>
      </c>
      <c r="D6" s="1" t="s">
        <v>44</v>
      </c>
      <c r="E6" s="1">
        <v>27</v>
      </c>
      <c r="F6" s="61">
        <v>4348.4080456193869</v>
      </c>
      <c r="G6" s="2">
        <v>12.742830113853667</v>
      </c>
      <c r="H6" s="2">
        <v>4361.1508757332404</v>
      </c>
      <c r="I6" s="3">
        <v>5.6024025995089662E-2</v>
      </c>
      <c r="J6" s="3">
        <v>0.80470969266754355</v>
      </c>
      <c r="K6" s="3">
        <v>-2.2457560704724128E-2</v>
      </c>
      <c r="L6" s="3">
        <v>3.7439972114647488E-2</v>
      </c>
      <c r="M6" s="3">
        <v>0.86460722548691515</v>
      </c>
      <c r="N6" s="3">
        <v>0.45927193687447887</v>
      </c>
      <c r="O6" s="3">
        <v>0.12079907455817364</v>
      </c>
      <c r="P6" s="3">
        <v>2.2711775932797214E-2</v>
      </c>
      <c r="Q6" s="3">
        <v>0.10855913640924293</v>
      </c>
      <c r="R6" s="3">
        <v>0.7113419237746923</v>
      </c>
      <c r="S6" s="3">
        <v>1.5759491492616065</v>
      </c>
      <c r="T6" s="2">
        <v>1363.6836848050589</v>
      </c>
      <c r="U6" s="2">
        <v>-33.94625400902062</v>
      </c>
      <c r="V6" s="2">
        <v>60.960668321654751</v>
      </c>
      <c r="W6" s="2">
        <v>1458.5906071357331</v>
      </c>
      <c r="X6" s="2">
        <v>768.17814845375187</v>
      </c>
      <c r="Y6" s="2">
        <v>188.91982065254356</v>
      </c>
      <c r="Z6" s="2">
        <v>38.593629120135581</v>
      </c>
      <c r="AA6" s="2">
        <v>168.66835632853946</v>
      </c>
      <c r="AB6" s="2">
        <v>1164.35995455497</v>
      </c>
      <c r="AC6" s="2">
        <v>2622.9505616907049</v>
      </c>
      <c r="AD6" s="4">
        <v>15.246578523719458</v>
      </c>
      <c r="AE6" s="4">
        <v>0.13386387742846759</v>
      </c>
      <c r="AF6" s="12">
        <v>15.112714646290986</v>
      </c>
      <c r="AG6" s="12">
        <v>2.1884885276649459</v>
      </c>
      <c r="AH6" s="12">
        <v>9.8379997690693805E-2</v>
      </c>
      <c r="AI6" s="12">
        <v>2.4998678801645942</v>
      </c>
      <c r="AJ6" s="12">
        <v>1.9567312049738219</v>
      </c>
      <c r="AK6" s="12">
        <v>21.856182256785051</v>
      </c>
      <c r="AL6" s="2">
        <v>631.63307921348746</v>
      </c>
      <c r="AM6" s="5">
        <v>0.54520472289897348</v>
      </c>
      <c r="AN6" s="5">
        <v>4.8168607814412963E-2</v>
      </c>
      <c r="AO6" s="5">
        <v>0.10480439172923094</v>
      </c>
      <c r="AP6" s="5">
        <v>7.4615216487398536E-2</v>
      </c>
      <c r="AQ6" s="7">
        <f>'FCE calculation'!F10</f>
        <v>3.4783548527491659</v>
      </c>
      <c r="AR6" s="8">
        <f t="shared" si="0"/>
        <v>5.0022450003611976</v>
      </c>
      <c r="AS6" s="9">
        <f t="shared" si="1"/>
        <v>4.3447880639166074</v>
      </c>
      <c r="AT6" s="10">
        <f t="shared" si="2"/>
        <v>0.65745693644459013</v>
      </c>
      <c r="AU6" s="11">
        <f t="shared" si="3"/>
        <v>0.13143237414343301</v>
      </c>
      <c r="AV6" s="91"/>
      <c r="AW6" s="91" t="e">
        <f t="shared" si="4"/>
        <v>#DIV/0!</v>
      </c>
      <c r="AX6" s="92"/>
      <c r="AY6" s="92" t="e">
        <f t="shared" si="5"/>
        <v>#DIV/0!</v>
      </c>
    </row>
    <row r="7" spans="2:51" s="94" customFormat="1" ht="15.75" x14ac:dyDescent="0.45">
      <c r="F7" s="77">
        <f>AVERAGE(F3:F6)</f>
        <v>4772.8344713904798</v>
      </c>
      <c r="AF7" s="95">
        <f>AVERAGE(AF3:AF6)</f>
        <v>14.509844121711687</v>
      </c>
      <c r="AG7" s="95">
        <f t="shared" ref="AG7:AK8" si="6">AVERAGE(AG3:AG6)</f>
        <v>2.1765041540637018</v>
      </c>
      <c r="AH7" s="95">
        <f t="shared" si="6"/>
        <v>0.11281387825702655</v>
      </c>
      <c r="AI7" s="95">
        <f t="shared" si="6"/>
        <v>2.3738965117635686</v>
      </c>
      <c r="AJ7" s="95">
        <f t="shared" si="6"/>
        <v>2.3991499430627199</v>
      </c>
      <c r="AK7" s="95">
        <f t="shared" si="6"/>
        <v>21.572208608858716</v>
      </c>
      <c r="AL7" s="96"/>
      <c r="AM7" s="97">
        <f>AVERAGE(AM3:AM6)</f>
        <v>0.50508115892184535</v>
      </c>
      <c r="AN7" s="96"/>
      <c r="AO7" s="96"/>
      <c r="AP7" s="96"/>
      <c r="AQ7" s="95">
        <f t="shared" ref="AQ7:AR7" si="7">AVERAGE(AQ3:AQ6)</f>
        <v>3.4796338399361142</v>
      </c>
      <c r="AR7" s="95">
        <f t="shared" si="7"/>
        <v>4.8277413887312601</v>
      </c>
      <c r="AS7" s="95">
        <f t="shared" ref="AS7:AY7" si="8">AVERAGE(AS3:AS6)</f>
        <v>4.1697985598547689</v>
      </c>
      <c r="AT7" s="95">
        <f t="shared" si="8"/>
        <v>0.65794282887649091</v>
      </c>
      <c r="AU7" s="76">
        <f t="shared" si="8"/>
        <v>0.13653901956460723</v>
      </c>
      <c r="AV7" s="93" t="e">
        <f t="shared" si="8"/>
        <v>#DIV/0!</v>
      </c>
      <c r="AW7" s="93" t="e">
        <f t="shared" si="8"/>
        <v>#DIV/0!</v>
      </c>
      <c r="AX7" s="93" t="e">
        <f t="shared" si="8"/>
        <v>#DIV/0!</v>
      </c>
      <c r="AY7" s="93" t="e">
        <f t="shared" si="8"/>
        <v>#DIV/0!</v>
      </c>
    </row>
    <row r="8" spans="2:51" s="94" customFormat="1" ht="15.75" x14ac:dyDescent="0.45">
      <c r="AF8" s="95">
        <f>AF7*120%</f>
        <v>17.411812946054024</v>
      </c>
      <c r="AG8" s="95">
        <f>AG7*110%</f>
        <v>2.3941545694700723</v>
      </c>
      <c r="AH8" s="95">
        <f t="shared" si="6"/>
        <v>9.5875690327753574E-2</v>
      </c>
      <c r="AI8" s="95">
        <f t="shared" si="6"/>
        <v>2.4135796022231584</v>
      </c>
      <c r="AJ8" s="95">
        <f t="shared" si="6"/>
        <v>2.3506419425645673</v>
      </c>
      <c r="AK8" s="95">
        <f t="shared" si="6"/>
        <v>21.792417536631763</v>
      </c>
      <c r="AL8" s="96"/>
      <c r="AM8" s="96"/>
      <c r="AN8" s="96"/>
      <c r="AO8" s="96"/>
      <c r="AP8" s="96"/>
      <c r="AQ8" s="96"/>
      <c r="AR8" s="95">
        <f>AR7*120%</f>
        <v>5.793289666477512</v>
      </c>
      <c r="AS8" s="95">
        <f>AS7*120%</f>
        <v>5.0037582718257223</v>
      </c>
      <c r="AT8" s="95">
        <f>AT7*110%</f>
        <v>0.72373711176414002</v>
      </c>
      <c r="AU8" s="95"/>
      <c r="AV8" s="95"/>
      <c r="AW8" s="95" t="e">
        <f>AW7*120%</f>
        <v>#DIV/0!</v>
      </c>
      <c r="AX8" s="95"/>
      <c r="AY8" s="96" t="e">
        <f>AY7*120%</f>
        <v>#DIV/0!</v>
      </c>
    </row>
    <row r="9" spans="2:51" x14ac:dyDescent="0.45">
      <c r="AK9" s="7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2F24-74F9-47E1-91AE-7F67FCA422F1}">
  <dimension ref="B2:R51"/>
  <sheetViews>
    <sheetView topLeftCell="A6" zoomScale="78" workbookViewId="0">
      <selection activeCell="D49" sqref="D49:O49"/>
    </sheetView>
  </sheetViews>
  <sheetFormatPr defaultRowHeight="14.25" x14ac:dyDescent="0.45"/>
  <cols>
    <col min="1" max="1" width="9.06640625" style="23"/>
    <col min="2" max="2" width="19.59765625" style="23" customWidth="1"/>
    <col min="3" max="3" width="15.06640625" style="23" customWidth="1"/>
    <col min="4" max="15" width="10.3984375" style="23" customWidth="1"/>
    <col min="16" max="16" width="13.06640625" style="24" customWidth="1"/>
    <col min="17" max="16384" width="9.06640625" style="23"/>
  </cols>
  <sheetData>
    <row r="2" spans="2:18" s="53" customFormat="1" x14ac:dyDescent="0.45">
      <c r="B2" s="53" t="s">
        <v>111</v>
      </c>
    </row>
    <row r="3" spans="2:18" x14ac:dyDescent="0.45">
      <c r="B3" s="24" t="s">
        <v>59</v>
      </c>
      <c r="C3" s="24"/>
    </row>
    <row r="4" spans="2:18" s="25" customFormat="1" x14ac:dyDescent="0.45">
      <c r="B4" s="28" t="s">
        <v>8</v>
      </c>
      <c r="C4" s="28" t="s">
        <v>0</v>
      </c>
      <c r="D4" s="25" t="s">
        <v>9</v>
      </c>
      <c r="E4" s="25" t="s">
        <v>10</v>
      </c>
      <c r="F4" s="25" t="s">
        <v>11</v>
      </c>
      <c r="G4" s="25" t="s">
        <v>12</v>
      </c>
      <c r="H4" s="25" t="s">
        <v>13</v>
      </c>
      <c r="I4" s="25" t="s">
        <v>14</v>
      </c>
      <c r="J4" s="25" t="s">
        <v>15</v>
      </c>
      <c r="K4" s="25" t="s">
        <v>16</v>
      </c>
      <c r="L4" s="25" t="s">
        <v>17</v>
      </c>
      <c r="M4" s="25" t="s">
        <v>18</v>
      </c>
      <c r="N4" s="25" t="s">
        <v>19</v>
      </c>
      <c r="O4" s="25" t="s">
        <v>20</v>
      </c>
    </row>
    <row r="5" spans="2:18" s="25" customFormat="1" x14ac:dyDescent="0.45">
      <c r="D5" s="25">
        <v>30</v>
      </c>
      <c r="E5" s="25">
        <v>31</v>
      </c>
      <c r="F5" s="25">
        <v>31</v>
      </c>
      <c r="G5" s="25">
        <v>30</v>
      </c>
      <c r="H5" s="25">
        <v>31</v>
      </c>
      <c r="I5" s="25">
        <v>30</v>
      </c>
      <c r="J5" s="25">
        <v>31</v>
      </c>
      <c r="K5" s="25">
        <v>31</v>
      </c>
      <c r="L5" s="25">
        <v>28</v>
      </c>
      <c r="M5" s="25">
        <v>31</v>
      </c>
      <c r="N5" s="25">
        <v>30</v>
      </c>
      <c r="O5" s="25">
        <v>31</v>
      </c>
    </row>
    <row r="6" spans="2:18" x14ac:dyDescent="0.45">
      <c r="B6" s="23" t="s">
        <v>7</v>
      </c>
      <c r="C6" s="23" t="str">
        <f>'FCE calculation'!C7</f>
        <v>2022-23</v>
      </c>
      <c r="D6" s="26">
        <v>18.7</v>
      </c>
      <c r="E6" s="26">
        <v>18</v>
      </c>
      <c r="F6" s="26">
        <v>21.04</v>
      </c>
      <c r="G6" s="26">
        <v>24.44</v>
      </c>
      <c r="H6" s="26">
        <v>24.53</v>
      </c>
      <c r="I6" s="26">
        <v>23.91</v>
      </c>
      <c r="J6" s="26">
        <v>21.71</v>
      </c>
      <c r="K6" s="26">
        <v>19.78</v>
      </c>
      <c r="L6" s="26">
        <v>18.440000000000001</v>
      </c>
      <c r="M6" s="26">
        <v>16.02</v>
      </c>
      <c r="N6" s="26">
        <v>14.14</v>
      </c>
      <c r="O6" s="26">
        <v>13.54</v>
      </c>
      <c r="P6" s="46">
        <f t="shared" ref="P6:P9" si="0">AVERAGE(D6:O6)</f>
        <v>19.520833333333336</v>
      </c>
      <c r="R6" s="47"/>
    </row>
    <row r="7" spans="2:18" x14ac:dyDescent="0.45">
      <c r="B7" s="23" t="s">
        <v>7</v>
      </c>
      <c r="C7" s="23" t="str">
        <f>'FCE calculation'!C8</f>
        <v>2021-22</v>
      </c>
      <c r="D7" s="26">
        <v>19.03</v>
      </c>
      <c r="E7" s="26">
        <v>20.95</v>
      </c>
      <c r="F7" s="26">
        <v>20.75</v>
      </c>
      <c r="G7" s="26">
        <v>24.83</v>
      </c>
      <c r="H7" s="26">
        <v>25.57</v>
      </c>
      <c r="I7" s="26">
        <v>23.36</v>
      </c>
      <c r="J7" s="26">
        <v>21.3</v>
      </c>
      <c r="K7" s="26">
        <v>20.02</v>
      </c>
      <c r="L7" s="26">
        <v>18.07</v>
      </c>
      <c r="M7" s="26">
        <v>16.010000000000002</v>
      </c>
      <c r="N7" s="26">
        <v>14.4</v>
      </c>
      <c r="O7" s="26">
        <v>13.22</v>
      </c>
      <c r="P7" s="46">
        <f t="shared" si="0"/>
        <v>19.7925</v>
      </c>
    </row>
    <row r="8" spans="2:18" x14ac:dyDescent="0.45">
      <c r="B8" s="23" t="s">
        <v>7</v>
      </c>
      <c r="C8" s="23" t="str">
        <f>'FCE calculation'!C9</f>
        <v>2020-21</v>
      </c>
      <c r="D8" s="26">
        <v>19.600000000000001</v>
      </c>
      <c r="E8" s="26">
        <v>20.59</v>
      </c>
      <c r="F8" s="26">
        <v>22.89</v>
      </c>
      <c r="G8" s="26">
        <v>25.65</v>
      </c>
      <c r="H8" s="26">
        <v>26.67</v>
      </c>
      <c r="I8" s="26">
        <v>24.25</v>
      </c>
      <c r="J8" s="26">
        <v>23.21</v>
      </c>
      <c r="K8" s="26">
        <v>21.08</v>
      </c>
      <c r="L8" s="26">
        <v>19.690000000000001</v>
      </c>
      <c r="M8" s="26">
        <v>16.62</v>
      </c>
      <c r="N8" s="26">
        <v>14.85</v>
      </c>
      <c r="O8" s="26">
        <v>13.72</v>
      </c>
      <c r="P8" s="46">
        <f t="shared" si="0"/>
        <v>20.734999999999999</v>
      </c>
    </row>
    <row r="9" spans="2:18" x14ac:dyDescent="0.45">
      <c r="B9" s="23" t="s">
        <v>7</v>
      </c>
      <c r="C9" s="23" t="str">
        <f>'FCE calculation'!C10</f>
        <v>2019-20</v>
      </c>
      <c r="D9" s="26">
        <v>19.93</v>
      </c>
      <c r="E9" s="26">
        <v>20.91</v>
      </c>
      <c r="F9" s="26">
        <v>21.8</v>
      </c>
      <c r="G9" s="26">
        <v>25.93</v>
      </c>
      <c r="H9" s="26">
        <v>26.08</v>
      </c>
      <c r="I9" s="26">
        <v>24.26</v>
      </c>
      <c r="J9" s="26">
        <v>23.12</v>
      </c>
      <c r="K9" s="26">
        <v>21.41</v>
      </c>
      <c r="L9" s="26">
        <v>19.03</v>
      </c>
      <c r="M9" s="26">
        <v>16.260000000000002</v>
      </c>
      <c r="N9" s="26">
        <v>14.59</v>
      </c>
      <c r="O9" s="26">
        <v>14.2</v>
      </c>
      <c r="P9" s="46">
        <f t="shared" si="0"/>
        <v>20.626666666666665</v>
      </c>
    </row>
    <row r="10" spans="2:18" s="24" customFormat="1" ht="15.75" x14ac:dyDescent="0.45">
      <c r="B10" s="24" t="s">
        <v>49</v>
      </c>
      <c r="D10" s="27">
        <f>AVERAGE(D6:D9)</f>
        <v>19.315000000000001</v>
      </c>
      <c r="E10" s="27">
        <f t="shared" ref="E10:O10" si="1">AVERAGE(E6:E9)</f>
        <v>20.112500000000001</v>
      </c>
      <c r="F10" s="27">
        <f t="shared" si="1"/>
        <v>21.62</v>
      </c>
      <c r="G10" s="27">
        <f t="shared" si="1"/>
        <v>25.212499999999999</v>
      </c>
      <c r="H10" s="27">
        <f t="shared" si="1"/>
        <v>25.712500000000002</v>
      </c>
      <c r="I10" s="27">
        <f t="shared" si="1"/>
        <v>23.945</v>
      </c>
      <c r="J10" s="27">
        <f t="shared" si="1"/>
        <v>22.335000000000001</v>
      </c>
      <c r="K10" s="27">
        <f t="shared" si="1"/>
        <v>20.572499999999998</v>
      </c>
      <c r="L10" s="27">
        <f t="shared" si="1"/>
        <v>18.807500000000001</v>
      </c>
      <c r="M10" s="27">
        <f t="shared" si="1"/>
        <v>16.227500000000003</v>
      </c>
      <c r="N10" s="27">
        <f t="shared" si="1"/>
        <v>14.495000000000001</v>
      </c>
      <c r="O10" s="27">
        <f t="shared" si="1"/>
        <v>13.669999999999998</v>
      </c>
      <c r="P10" s="48">
        <f>AVERAGE(D10:O10)</f>
        <v>20.168749999999999</v>
      </c>
    </row>
    <row r="11" spans="2:18" x14ac:dyDescent="0.45"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2:18" x14ac:dyDescent="0.45">
      <c r="B12" s="24" t="s">
        <v>60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31" t="s">
        <v>49</v>
      </c>
    </row>
    <row r="13" spans="2:18" x14ac:dyDescent="0.45">
      <c r="B13" s="23" t="str">
        <f>B6</f>
        <v>North Canterbury</v>
      </c>
      <c r="C13" s="23" t="str">
        <f>C6</f>
        <v>2022-23</v>
      </c>
      <c r="D13" s="26">
        <v>0.9</v>
      </c>
      <c r="E13" s="26">
        <v>0.92</v>
      </c>
      <c r="F13" s="26">
        <v>0.97</v>
      </c>
      <c r="G13" s="26">
        <v>1.1000000000000001</v>
      </c>
      <c r="H13" s="26">
        <v>1.1100000000000001</v>
      </c>
      <c r="I13" s="26">
        <v>1.08</v>
      </c>
      <c r="J13" s="26">
        <v>1.02</v>
      </c>
      <c r="K13" s="26">
        <v>0.96</v>
      </c>
      <c r="L13" s="26">
        <v>0.93</v>
      </c>
      <c r="M13" s="26">
        <v>0.87</v>
      </c>
      <c r="N13" s="26">
        <v>0.81</v>
      </c>
      <c r="O13" s="26">
        <v>0.76</v>
      </c>
      <c r="P13" s="27">
        <f t="shared" ref="P13:P34" si="2">AVERAGE(D13:O13)</f>
        <v>0.95249999999999979</v>
      </c>
    </row>
    <row r="14" spans="2:18" x14ac:dyDescent="0.45">
      <c r="B14" s="23" t="str">
        <f t="shared" ref="B14:C14" si="3">B7</f>
        <v>North Canterbury</v>
      </c>
      <c r="C14" s="23" t="str">
        <f t="shared" si="3"/>
        <v>2021-22</v>
      </c>
      <c r="D14" s="26">
        <v>0.98</v>
      </c>
      <c r="E14" s="26">
        <v>0.98</v>
      </c>
      <c r="F14" s="26">
        <v>0.96</v>
      </c>
      <c r="G14" s="26">
        <v>1.1100000000000001</v>
      </c>
      <c r="H14" s="26">
        <v>1.1499999999999999</v>
      </c>
      <c r="I14" s="26">
        <v>1.07</v>
      </c>
      <c r="J14" s="26">
        <v>1.01</v>
      </c>
      <c r="K14" s="26">
        <v>0.96</v>
      </c>
      <c r="L14" s="26">
        <v>0.92</v>
      </c>
      <c r="M14" s="26">
        <v>0.85</v>
      </c>
      <c r="N14" s="26">
        <v>0.81</v>
      </c>
      <c r="O14" s="26">
        <v>0.75</v>
      </c>
      <c r="P14" s="27">
        <f t="shared" si="2"/>
        <v>0.96249999999999991</v>
      </c>
    </row>
    <row r="15" spans="2:18" x14ac:dyDescent="0.45">
      <c r="B15" s="23" t="str">
        <f t="shared" ref="B15:C15" si="4">B8</f>
        <v>North Canterbury</v>
      </c>
      <c r="C15" s="23" t="str">
        <f t="shared" si="4"/>
        <v>2020-21</v>
      </c>
      <c r="D15" s="26">
        <v>0.99</v>
      </c>
      <c r="E15" s="26">
        <v>0.99</v>
      </c>
      <c r="F15" s="26">
        <v>1.02</v>
      </c>
      <c r="G15" s="26">
        <v>1.1399999999999999</v>
      </c>
      <c r="H15" s="26">
        <v>1.19</v>
      </c>
      <c r="I15" s="26">
        <v>1.0900000000000001</v>
      </c>
      <c r="J15" s="26">
        <v>1.05</v>
      </c>
      <c r="K15" s="26">
        <v>1</v>
      </c>
      <c r="L15" s="26">
        <v>0.97</v>
      </c>
      <c r="M15" s="26">
        <v>0.88</v>
      </c>
      <c r="N15" s="26">
        <v>0.83</v>
      </c>
      <c r="O15" s="26">
        <v>0.81</v>
      </c>
      <c r="P15" s="27">
        <f t="shared" si="2"/>
        <v>0.9966666666666667</v>
      </c>
    </row>
    <row r="16" spans="2:18" x14ac:dyDescent="0.45">
      <c r="B16" s="23" t="str">
        <f t="shared" ref="B16:C16" si="5">B9</f>
        <v>North Canterbury</v>
      </c>
      <c r="C16" s="23" t="str">
        <f t="shared" si="5"/>
        <v>2019-20</v>
      </c>
      <c r="D16" s="26">
        <v>0.95</v>
      </c>
      <c r="E16" s="26">
        <v>0.97</v>
      </c>
      <c r="F16" s="26">
        <v>0.97</v>
      </c>
      <c r="G16" s="26">
        <v>1.1499999999999999</v>
      </c>
      <c r="H16" s="26">
        <v>1.17</v>
      </c>
      <c r="I16" s="26">
        <v>1.0900000000000001</v>
      </c>
      <c r="J16" s="26">
        <v>1.06</v>
      </c>
      <c r="K16" s="26">
        <v>1.01</v>
      </c>
      <c r="L16" s="26">
        <v>0.94</v>
      </c>
      <c r="M16" s="26">
        <v>0.86</v>
      </c>
      <c r="N16" s="26">
        <v>0.82</v>
      </c>
      <c r="O16" s="26">
        <v>0.81</v>
      </c>
      <c r="P16" s="27">
        <f t="shared" si="2"/>
        <v>0.98333333333333328</v>
      </c>
    </row>
    <row r="17" spans="2:16" s="24" customFormat="1" x14ac:dyDescent="0.45">
      <c r="B17" s="24" t="str">
        <f>B10</f>
        <v>Average</v>
      </c>
      <c r="D17" s="27">
        <f t="shared" ref="D17:O17" si="6">AVERAGE(D13:D16)</f>
        <v>0.95500000000000007</v>
      </c>
      <c r="E17" s="27">
        <f t="shared" si="6"/>
        <v>0.96499999999999986</v>
      </c>
      <c r="F17" s="27">
        <f t="shared" si="6"/>
        <v>0.98</v>
      </c>
      <c r="G17" s="27">
        <f t="shared" si="6"/>
        <v>1.125</v>
      </c>
      <c r="H17" s="27">
        <f t="shared" si="6"/>
        <v>1.1549999999999998</v>
      </c>
      <c r="I17" s="27">
        <f t="shared" si="6"/>
        <v>1.0825</v>
      </c>
      <c r="J17" s="27">
        <f t="shared" si="6"/>
        <v>1.0350000000000001</v>
      </c>
      <c r="K17" s="27">
        <f t="shared" si="6"/>
        <v>0.98249999999999993</v>
      </c>
      <c r="L17" s="27">
        <f t="shared" si="6"/>
        <v>0.94000000000000006</v>
      </c>
      <c r="M17" s="27">
        <f t="shared" si="6"/>
        <v>0.86499999999999999</v>
      </c>
      <c r="N17" s="27">
        <f t="shared" si="6"/>
        <v>0.8175</v>
      </c>
      <c r="O17" s="27">
        <f t="shared" si="6"/>
        <v>0.78250000000000008</v>
      </c>
      <c r="P17" s="27">
        <f t="shared" si="2"/>
        <v>0.97375</v>
      </c>
    </row>
    <row r="18" spans="2:16" x14ac:dyDescent="0.45"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</row>
    <row r="19" spans="2:16" x14ac:dyDescent="0.45">
      <c r="B19" s="23" t="str">
        <f>B13</f>
        <v>North Canterbury</v>
      </c>
      <c r="C19" s="23" t="str">
        <f>C13</f>
        <v>2022-23</v>
      </c>
      <c r="D19" s="29">
        <f>D13/D6</f>
        <v>4.812834224598931E-2</v>
      </c>
      <c r="E19" s="29">
        <f t="shared" ref="E19:O19" si="7">E13/E6</f>
        <v>5.1111111111111114E-2</v>
      </c>
      <c r="F19" s="29">
        <f t="shared" si="7"/>
        <v>4.6102661596958174E-2</v>
      </c>
      <c r="G19" s="29">
        <f t="shared" si="7"/>
        <v>4.5008183306055646E-2</v>
      </c>
      <c r="H19" s="29">
        <f t="shared" si="7"/>
        <v>4.525071341214839E-2</v>
      </c>
      <c r="I19" s="29">
        <f t="shared" si="7"/>
        <v>4.51693851944793E-2</v>
      </c>
      <c r="J19" s="29">
        <f t="shared" si="7"/>
        <v>4.6982957162597878E-2</v>
      </c>
      <c r="K19" s="29">
        <f t="shared" si="7"/>
        <v>4.8533872598584424E-2</v>
      </c>
      <c r="L19" s="29">
        <f t="shared" si="7"/>
        <v>5.0433839479392624E-2</v>
      </c>
      <c r="M19" s="29">
        <f t="shared" si="7"/>
        <v>5.4307116104868915E-2</v>
      </c>
      <c r="N19" s="29">
        <f t="shared" si="7"/>
        <v>5.7284299858557285E-2</v>
      </c>
      <c r="O19" s="29">
        <f t="shared" si="7"/>
        <v>5.6129985228951261E-2</v>
      </c>
      <c r="P19" s="30">
        <f t="shared" si="2"/>
        <v>4.9536872274974532E-2</v>
      </c>
    </row>
    <row r="20" spans="2:16" x14ac:dyDescent="0.45">
      <c r="B20" s="23" t="str">
        <f t="shared" ref="B20:C20" si="8">B14</f>
        <v>North Canterbury</v>
      </c>
      <c r="C20" s="23" t="str">
        <f t="shared" si="8"/>
        <v>2021-22</v>
      </c>
      <c r="D20" s="29">
        <f t="shared" ref="D20:O22" si="9">D14/D7</f>
        <v>5.1497635312664207E-2</v>
      </c>
      <c r="E20" s="29">
        <f t="shared" si="9"/>
        <v>4.677804295942721E-2</v>
      </c>
      <c r="F20" s="29">
        <f t="shared" si="9"/>
        <v>4.6265060240963857E-2</v>
      </c>
      <c r="G20" s="29">
        <f t="shared" si="9"/>
        <v>4.4703987112364084E-2</v>
      </c>
      <c r="H20" s="29">
        <f t="shared" si="9"/>
        <v>4.4974579585451695E-2</v>
      </c>
      <c r="I20" s="29">
        <f t="shared" si="9"/>
        <v>4.5804794520547948E-2</v>
      </c>
      <c r="J20" s="29">
        <f t="shared" si="9"/>
        <v>4.7417840375586856E-2</v>
      </c>
      <c r="K20" s="29">
        <f t="shared" si="9"/>
        <v>4.7952047952047952E-2</v>
      </c>
      <c r="L20" s="29">
        <f t="shared" si="9"/>
        <v>5.09131156613171E-2</v>
      </c>
      <c r="M20" s="29">
        <f t="shared" si="9"/>
        <v>5.3091817613991246E-2</v>
      </c>
      <c r="N20" s="29">
        <f t="shared" si="9"/>
        <v>5.6250000000000001E-2</v>
      </c>
      <c r="O20" s="29">
        <f t="shared" si="9"/>
        <v>5.6732223903177004E-2</v>
      </c>
      <c r="P20" s="30">
        <f t="shared" si="2"/>
        <v>4.9365095436461594E-2</v>
      </c>
    </row>
    <row r="21" spans="2:16" x14ac:dyDescent="0.45">
      <c r="B21" s="23" t="str">
        <f t="shared" ref="B21:C21" si="10">B15</f>
        <v>North Canterbury</v>
      </c>
      <c r="C21" s="23" t="str">
        <f t="shared" si="10"/>
        <v>2020-21</v>
      </c>
      <c r="D21" s="29">
        <f t="shared" si="9"/>
        <v>5.0510204081632648E-2</v>
      </c>
      <c r="E21" s="29">
        <f t="shared" si="9"/>
        <v>4.8081593006313747E-2</v>
      </c>
      <c r="F21" s="29">
        <f t="shared" si="9"/>
        <v>4.456094364351245E-2</v>
      </c>
      <c r="G21" s="29">
        <f t="shared" si="9"/>
        <v>4.4444444444444446E-2</v>
      </c>
      <c r="H21" s="29">
        <f t="shared" si="9"/>
        <v>4.461942257217847E-2</v>
      </c>
      <c r="I21" s="29">
        <f t="shared" si="9"/>
        <v>4.4948453608247424E-2</v>
      </c>
      <c r="J21" s="29">
        <f t="shared" si="9"/>
        <v>4.5239121068504952E-2</v>
      </c>
      <c r="K21" s="29">
        <f t="shared" si="9"/>
        <v>4.743833017077799E-2</v>
      </c>
      <c r="L21" s="29">
        <f t="shared" si="9"/>
        <v>4.9263585576434732E-2</v>
      </c>
      <c r="M21" s="29">
        <f t="shared" si="9"/>
        <v>5.2948255114320095E-2</v>
      </c>
      <c r="N21" s="29">
        <f t="shared" si="9"/>
        <v>5.5892255892255889E-2</v>
      </c>
      <c r="O21" s="29">
        <f t="shared" si="9"/>
        <v>5.903790087463557E-2</v>
      </c>
      <c r="P21" s="30">
        <f t="shared" si="2"/>
        <v>4.8915375837771537E-2</v>
      </c>
    </row>
    <row r="22" spans="2:16" x14ac:dyDescent="0.45">
      <c r="B22" s="23" t="str">
        <f t="shared" ref="B22:C22" si="11">B16</f>
        <v>North Canterbury</v>
      </c>
      <c r="C22" s="23" t="str">
        <f t="shared" si="11"/>
        <v>2019-20</v>
      </c>
      <c r="D22" s="29">
        <f t="shared" si="9"/>
        <v>4.7666833918715505E-2</v>
      </c>
      <c r="E22" s="29">
        <f t="shared" si="9"/>
        <v>4.6389287422285985E-2</v>
      </c>
      <c r="F22" s="29">
        <f t="shared" si="9"/>
        <v>4.4495412844036693E-2</v>
      </c>
      <c r="G22" s="29">
        <f t="shared" si="9"/>
        <v>4.4350173544157344E-2</v>
      </c>
      <c r="H22" s="29">
        <f t="shared" si="9"/>
        <v>4.4861963190184047E-2</v>
      </c>
      <c r="I22" s="29">
        <f t="shared" si="9"/>
        <v>4.4929925803792251E-2</v>
      </c>
      <c r="J22" s="29">
        <f t="shared" si="9"/>
        <v>4.5847750865051905E-2</v>
      </c>
      <c r="K22" s="29">
        <f t="shared" si="9"/>
        <v>4.7174217655301262E-2</v>
      </c>
      <c r="L22" s="29">
        <f t="shared" si="9"/>
        <v>4.9395691014188121E-2</v>
      </c>
      <c r="M22" s="29">
        <f t="shared" si="9"/>
        <v>5.2890528905289044E-2</v>
      </c>
      <c r="N22" s="29">
        <f t="shared" si="9"/>
        <v>5.6202878684030157E-2</v>
      </c>
      <c r="O22" s="29">
        <f t="shared" si="9"/>
        <v>5.7042253521126768E-2</v>
      </c>
      <c r="P22" s="30">
        <f t="shared" si="2"/>
        <v>4.8437243114013262E-2</v>
      </c>
    </row>
    <row r="23" spans="2:16" x14ac:dyDescent="0.45"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</row>
    <row r="24" spans="2:16" x14ac:dyDescent="0.45">
      <c r="B24" s="24" t="s">
        <v>61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1" t="s">
        <v>21</v>
      </c>
    </row>
    <row r="25" spans="2:16" x14ac:dyDescent="0.45">
      <c r="B25" s="23" t="str">
        <f t="shared" ref="B25:C28" si="12">B13</f>
        <v>North Canterbury</v>
      </c>
      <c r="C25" s="23" t="str">
        <f t="shared" si="12"/>
        <v>2022-23</v>
      </c>
      <c r="D25" s="26">
        <v>0.72</v>
      </c>
      <c r="E25" s="26">
        <v>0.7</v>
      </c>
      <c r="F25" s="26">
        <v>0.78</v>
      </c>
      <c r="G25" s="26">
        <v>0.92</v>
      </c>
      <c r="H25" s="26">
        <v>0.94</v>
      </c>
      <c r="I25" s="26">
        <v>0.91</v>
      </c>
      <c r="J25" s="26">
        <v>0.84</v>
      </c>
      <c r="K25" s="26">
        <v>0.79</v>
      </c>
      <c r="L25" s="26">
        <v>0.75</v>
      </c>
      <c r="M25" s="26">
        <v>0.7</v>
      </c>
      <c r="N25" s="26">
        <v>0.65</v>
      </c>
      <c r="O25" s="26">
        <v>0.62</v>
      </c>
      <c r="P25" s="27">
        <f t="shared" si="2"/>
        <v>0.77666666666666673</v>
      </c>
    </row>
    <row r="26" spans="2:16" x14ac:dyDescent="0.45">
      <c r="B26" s="23" t="str">
        <f t="shared" si="12"/>
        <v>North Canterbury</v>
      </c>
      <c r="C26" s="23" t="str">
        <f t="shared" si="12"/>
        <v>2021-22</v>
      </c>
      <c r="D26" s="26">
        <v>0.78</v>
      </c>
      <c r="E26" s="26">
        <v>0.8</v>
      </c>
      <c r="F26" s="26">
        <v>0.78</v>
      </c>
      <c r="G26" s="26">
        <v>0.93</v>
      </c>
      <c r="H26" s="26">
        <v>0.97</v>
      </c>
      <c r="I26" s="26">
        <v>0.89</v>
      </c>
      <c r="J26" s="26">
        <v>0.83</v>
      </c>
      <c r="K26" s="26">
        <v>0.8</v>
      </c>
      <c r="L26" s="26">
        <v>0.74</v>
      </c>
      <c r="M26" s="26">
        <v>0.69</v>
      </c>
      <c r="N26" s="26">
        <v>0.66</v>
      </c>
      <c r="O26" s="26">
        <v>0.62</v>
      </c>
      <c r="P26" s="27">
        <f t="shared" si="2"/>
        <v>0.79083333333333339</v>
      </c>
    </row>
    <row r="27" spans="2:16" x14ac:dyDescent="0.45">
      <c r="B27" s="23" t="str">
        <f t="shared" si="12"/>
        <v>North Canterbury</v>
      </c>
      <c r="C27" s="23" t="str">
        <f t="shared" si="12"/>
        <v>2020-21</v>
      </c>
      <c r="D27" s="26">
        <v>0.78</v>
      </c>
      <c r="E27" s="26">
        <v>0.79</v>
      </c>
      <c r="F27" s="26">
        <v>0.84</v>
      </c>
      <c r="G27" s="26">
        <v>0.98</v>
      </c>
      <c r="H27" s="26">
        <v>1.01</v>
      </c>
      <c r="I27" s="26">
        <v>0.92</v>
      </c>
      <c r="J27" s="26">
        <v>0.9</v>
      </c>
      <c r="K27" s="26">
        <v>0.83</v>
      </c>
      <c r="L27" s="26">
        <v>0.8</v>
      </c>
      <c r="M27" s="26">
        <v>0.72</v>
      </c>
      <c r="N27" s="26">
        <v>0.68</v>
      </c>
      <c r="O27" s="26">
        <v>0.65</v>
      </c>
      <c r="P27" s="27">
        <f t="shared" si="2"/>
        <v>0.82500000000000007</v>
      </c>
    </row>
    <row r="28" spans="2:16" x14ac:dyDescent="0.45">
      <c r="B28" s="23" t="str">
        <f t="shared" si="12"/>
        <v>North Canterbury</v>
      </c>
      <c r="C28" s="23" t="str">
        <f t="shared" si="12"/>
        <v>2019-20</v>
      </c>
      <c r="D28" s="26">
        <v>0.78</v>
      </c>
      <c r="E28" s="26">
        <v>0.8</v>
      </c>
      <c r="F28" s="26">
        <v>0.81</v>
      </c>
      <c r="G28" s="26">
        <v>0.99</v>
      </c>
      <c r="H28" s="26">
        <v>1</v>
      </c>
      <c r="I28" s="26">
        <v>0.92</v>
      </c>
      <c r="J28" s="26">
        <v>0.89</v>
      </c>
      <c r="K28" s="26">
        <v>0.85</v>
      </c>
      <c r="L28" s="26">
        <v>0.76</v>
      </c>
      <c r="M28" s="26">
        <v>0.71</v>
      </c>
      <c r="N28" s="26">
        <v>0.68</v>
      </c>
      <c r="O28" s="26">
        <v>0.67</v>
      </c>
      <c r="P28" s="27">
        <f t="shared" si="2"/>
        <v>0.82166666666666643</v>
      </c>
    </row>
    <row r="29" spans="2:16" s="24" customFormat="1" x14ac:dyDescent="0.45">
      <c r="B29" s="24" t="str">
        <f>B17</f>
        <v>Average</v>
      </c>
      <c r="D29" s="27">
        <f>AVERAGE(D25:D28)</f>
        <v>0.76500000000000012</v>
      </c>
      <c r="E29" s="27">
        <f t="shared" ref="E29:O29" si="13">AVERAGE(E25:E28)</f>
        <v>0.77249999999999996</v>
      </c>
      <c r="F29" s="27">
        <f t="shared" si="13"/>
        <v>0.80249999999999999</v>
      </c>
      <c r="G29" s="27">
        <f t="shared" si="13"/>
        <v>0.95500000000000007</v>
      </c>
      <c r="H29" s="27">
        <f t="shared" si="13"/>
        <v>0.98</v>
      </c>
      <c r="I29" s="27">
        <f t="shared" si="13"/>
        <v>0.91</v>
      </c>
      <c r="J29" s="27">
        <f t="shared" si="13"/>
        <v>0.86499999999999999</v>
      </c>
      <c r="K29" s="27">
        <f t="shared" si="13"/>
        <v>0.8175</v>
      </c>
      <c r="L29" s="27">
        <f t="shared" si="13"/>
        <v>0.76249999999999996</v>
      </c>
      <c r="M29" s="27">
        <f t="shared" si="13"/>
        <v>0.70499999999999996</v>
      </c>
      <c r="N29" s="27">
        <f t="shared" si="13"/>
        <v>0.66750000000000009</v>
      </c>
      <c r="O29" s="27">
        <f t="shared" si="13"/>
        <v>0.64</v>
      </c>
      <c r="P29" s="27">
        <f t="shared" si="2"/>
        <v>0.80354166666666682</v>
      </c>
    </row>
    <row r="30" spans="2:16" x14ac:dyDescent="0.45"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</row>
    <row r="31" spans="2:16" x14ac:dyDescent="0.45">
      <c r="B31" s="23" t="str">
        <f>B25</f>
        <v>North Canterbury</v>
      </c>
      <c r="C31" s="23" t="str">
        <f>C25</f>
        <v>2022-23</v>
      </c>
      <c r="D31" s="29">
        <f>D25/D6</f>
        <v>3.8502673796791446E-2</v>
      </c>
      <c r="E31" s="29">
        <f t="shared" ref="E31:O31" si="14">E25/E6</f>
        <v>3.888888888888889E-2</v>
      </c>
      <c r="F31" s="29">
        <f t="shared" si="14"/>
        <v>3.7072243346007609E-2</v>
      </c>
      <c r="G31" s="29">
        <f t="shared" si="14"/>
        <v>3.7643207855973811E-2</v>
      </c>
      <c r="H31" s="29">
        <f t="shared" si="14"/>
        <v>3.8320423970648179E-2</v>
      </c>
      <c r="I31" s="29">
        <f t="shared" si="14"/>
        <v>3.8059389376829782E-2</v>
      </c>
      <c r="J31" s="29">
        <f t="shared" si="14"/>
        <v>3.8691847075080603E-2</v>
      </c>
      <c r="K31" s="29">
        <f t="shared" si="14"/>
        <v>3.9939332659251772E-2</v>
      </c>
      <c r="L31" s="29">
        <f t="shared" si="14"/>
        <v>4.0672451193058567E-2</v>
      </c>
      <c r="M31" s="29">
        <f t="shared" si="14"/>
        <v>4.3695380774032455E-2</v>
      </c>
      <c r="N31" s="29">
        <f t="shared" si="14"/>
        <v>4.5968882602545967E-2</v>
      </c>
      <c r="O31" s="29">
        <f t="shared" si="14"/>
        <v>4.579025110782866E-2</v>
      </c>
      <c r="P31" s="30">
        <f t="shared" si="2"/>
        <v>4.027041438724481E-2</v>
      </c>
    </row>
    <row r="32" spans="2:16" x14ac:dyDescent="0.45">
      <c r="B32" s="23" t="str">
        <f t="shared" ref="B32:C32" si="15">B26</f>
        <v>North Canterbury</v>
      </c>
      <c r="C32" s="23" t="str">
        <f t="shared" si="15"/>
        <v>2021-22</v>
      </c>
      <c r="D32" s="29">
        <f t="shared" ref="D32:O32" si="16">D26/D7</f>
        <v>4.0987913820283758E-2</v>
      </c>
      <c r="E32" s="29">
        <f t="shared" si="16"/>
        <v>3.8186157517899763E-2</v>
      </c>
      <c r="F32" s="29">
        <f t="shared" si="16"/>
        <v>3.7590361445783135E-2</v>
      </c>
      <c r="G32" s="29">
        <f t="shared" si="16"/>
        <v>3.7454691904953687E-2</v>
      </c>
      <c r="H32" s="29">
        <f t="shared" si="16"/>
        <v>3.7935080172076648E-2</v>
      </c>
      <c r="I32" s="29">
        <f t="shared" si="16"/>
        <v>3.809931506849315E-2</v>
      </c>
      <c r="J32" s="29">
        <f t="shared" si="16"/>
        <v>3.8967136150234741E-2</v>
      </c>
      <c r="K32" s="29">
        <f t="shared" si="16"/>
        <v>3.996003996003996E-2</v>
      </c>
      <c r="L32" s="29">
        <f t="shared" si="16"/>
        <v>4.0951853901494188E-2</v>
      </c>
      <c r="M32" s="29">
        <f t="shared" si="16"/>
        <v>4.3098063710181128E-2</v>
      </c>
      <c r="N32" s="29">
        <f t="shared" si="16"/>
        <v>4.5833333333333337E-2</v>
      </c>
      <c r="O32" s="29">
        <f t="shared" si="16"/>
        <v>4.6898638426626324E-2</v>
      </c>
      <c r="P32" s="30">
        <f t="shared" si="2"/>
        <v>4.0496882117616657E-2</v>
      </c>
    </row>
    <row r="33" spans="2:16" x14ac:dyDescent="0.45">
      <c r="B33" s="23" t="str">
        <f t="shared" ref="B33:C33" si="17">B27</f>
        <v>North Canterbury</v>
      </c>
      <c r="C33" s="23" t="str">
        <f t="shared" si="17"/>
        <v>2020-21</v>
      </c>
      <c r="D33" s="29">
        <f t="shared" ref="D33:O34" si="18">D27/D8</f>
        <v>3.9795918367346937E-2</v>
      </c>
      <c r="E33" s="29">
        <f t="shared" si="18"/>
        <v>3.8368139873725109E-2</v>
      </c>
      <c r="F33" s="29">
        <f t="shared" si="18"/>
        <v>3.6697247706422013E-2</v>
      </c>
      <c r="G33" s="29">
        <f t="shared" si="18"/>
        <v>3.820662768031189E-2</v>
      </c>
      <c r="H33" s="29">
        <f t="shared" si="18"/>
        <v>3.787026621672291E-2</v>
      </c>
      <c r="I33" s="29">
        <f t="shared" si="18"/>
        <v>3.7938144329896908E-2</v>
      </c>
      <c r="J33" s="29">
        <f t="shared" si="18"/>
        <v>3.877638948728996E-2</v>
      </c>
      <c r="K33" s="29">
        <f t="shared" si="18"/>
        <v>3.9373814041745732E-2</v>
      </c>
      <c r="L33" s="29">
        <f t="shared" si="18"/>
        <v>4.0629761300152362E-2</v>
      </c>
      <c r="M33" s="29">
        <f t="shared" si="18"/>
        <v>4.3321299638989168E-2</v>
      </c>
      <c r="N33" s="29">
        <f t="shared" si="18"/>
        <v>4.5791245791245792E-2</v>
      </c>
      <c r="O33" s="29">
        <f t="shared" si="18"/>
        <v>4.7376093294460637E-2</v>
      </c>
      <c r="P33" s="30">
        <f t="shared" si="2"/>
        <v>4.0345412310692448E-2</v>
      </c>
    </row>
    <row r="34" spans="2:16" x14ac:dyDescent="0.45">
      <c r="B34" s="23" t="str">
        <f t="shared" ref="B34:C34" si="19">B28</f>
        <v>North Canterbury</v>
      </c>
      <c r="C34" s="23" t="str">
        <f t="shared" si="19"/>
        <v>2019-20</v>
      </c>
      <c r="D34" s="29">
        <f t="shared" si="18"/>
        <v>3.9136979427997994E-2</v>
      </c>
      <c r="E34" s="29">
        <f t="shared" si="18"/>
        <v>3.8259206121472981E-2</v>
      </c>
      <c r="F34" s="29">
        <f t="shared" si="18"/>
        <v>3.7155963302752296E-2</v>
      </c>
      <c r="G34" s="29">
        <f t="shared" si="18"/>
        <v>3.8179714616274583E-2</v>
      </c>
      <c r="H34" s="29">
        <f t="shared" si="18"/>
        <v>3.834355828220859E-2</v>
      </c>
      <c r="I34" s="29">
        <f t="shared" si="18"/>
        <v>3.7922506183017311E-2</v>
      </c>
      <c r="J34" s="29">
        <f t="shared" si="18"/>
        <v>3.8494809688581315E-2</v>
      </c>
      <c r="K34" s="29">
        <f t="shared" si="18"/>
        <v>3.9701074264362445E-2</v>
      </c>
      <c r="L34" s="29">
        <f t="shared" si="18"/>
        <v>3.9936941671045716E-2</v>
      </c>
      <c r="M34" s="29">
        <f t="shared" si="18"/>
        <v>4.3665436654366535E-2</v>
      </c>
      <c r="N34" s="29">
        <f t="shared" si="18"/>
        <v>4.6607265250171351E-2</v>
      </c>
      <c r="O34" s="29">
        <f t="shared" si="18"/>
        <v>4.7183098591549302E-2</v>
      </c>
      <c r="P34" s="30">
        <f t="shared" si="2"/>
        <v>4.0382212837816699E-2</v>
      </c>
    </row>
    <row r="35" spans="2:16" x14ac:dyDescent="0.45">
      <c r="P35" s="27"/>
    </row>
    <row r="36" spans="2:16" s="24" customFormat="1" x14ac:dyDescent="0.45">
      <c r="B36" s="24" t="s">
        <v>62</v>
      </c>
      <c r="P36" s="31"/>
    </row>
    <row r="37" spans="2:16" x14ac:dyDescent="0.45">
      <c r="B37" s="23" t="str">
        <f t="shared" ref="B37:C40" si="20">B6</f>
        <v>North Canterbury</v>
      </c>
      <c r="C37" s="23" t="str">
        <f t="shared" si="20"/>
        <v>2022-23</v>
      </c>
      <c r="D37" s="26">
        <f>(D6*1.03)*(D19+D31)</f>
        <v>1.6686000000000001</v>
      </c>
      <c r="E37" s="26">
        <f t="shared" ref="D37:O40" si="21">(E6*1.03)*(E19+E31)</f>
        <v>1.6685999999999999</v>
      </c>
      <c r="F37" s="26">
        <f t="shared" si="21"/>
        <v>1.8025</v>
      </c>
      <c r="G37" s="26">
        <f t="shared" si="21"/>
        <v>2.0806</v>
      </c>
      <c r="H37" s="26">
        <f t="shared" si="21"/>
        <v>2.1114999999999999</v>
      </c>
      <c r="I37" s="26">
        <f t="shared" si="21"/>
        <v>2.0497000000000005</v>
      </c>
      <c r="J37" s="26">
        <f t="shared" si="21"/>
        <v>1.9157999999999997</v>
      </c>
      <c r="K37" s="26">
        <f t="shared" si="21"/>
        <v>1.8025</v>
      </c>
      <c r="L37" s="26">
        <f t="shared" si="21"/>
        <v>1.7303999999999999</v>
      </c>
      <c r="M37" s="26">
        <f t="shared" si="21"/>
        <v>1.6170999999999998</v>
      </c>
      <c r="N37" s="26">
        <f t="shared" si="21"/>
        <v>1.5038</v>
      </c>
      <c r="O37" s="26">
        <f t="shared" si="21"/>
        <v>1.4214</v>
      </c>
      <c r="P37" s="26">
        <f>AVERAGE(D37:O37)</f>
        <v>1.7810416666666662</v>
      </c>
    </row>
    <row r="38" spans="2:16" x14ac:dyDescent="0.45">
      <c r="B38" s="23" t="str">
        <f t="shared" si="20"/>
        <v>North Canterbury</v>
      </c>
      <c r="C38" s="23" t="str">
        <f t="shared" si="20"/>
        <v>2021-22</v>
      </c>
      <c r="D38" s="26">
        <f t="shared" si="21"/>
        <v>1.8128</v>
      </c>
      <c r="E38" s="26">
        <f t="shared" si="21"/>
        <v>1.8333999999999999</v>
      </c>
      <c r="F38" s="26">
        <f t="shared" si="21"/>
        <v>1.7922000000000002</v>
      </c>
      <c r="G38" s="26">
        <f t="shared" si="21"/>
        <v>2.1012000000000004</v>
      </c>
      <c r="H38" s="26">
        <f t="shared" si="21"/>
        <v>2.1835999999999998</v>
      </c>
      <c r="I38" s="26">
        <f t="shared" si="21"/>
        <v>2.0188000000000001</v>
      </c>
      <c r="J38" s="26">
        <f t="shared" si="21"/>
        <v>1.8952</v>
      </c>
      <c r="K38" s="26">
        <f t="shared" si="21"/>
        <v>1.8127999999999997</v>
      </c>
      <c r="L38" s="26">
        <f t="shared" si="21"/>
        <v>1.7098000000000002</v>
      </c>
      <c r="M38" s="26">
        <f t="shared" si="21"/>
        <v>1.5861999999999998</v>
      </c>
      <c r="N38" s="26">
        <f t="shared" si="21"/>
        <v>1.5141</v>
      </c>
      <c r="O38" s="26">
        <f t="shared" si="21"/>
        <v>1.4111000000000002</v>
      </c>
      <c r="P38" s="26">
        <f t="shared" ref="P38:P41" si="22">AVERAGE(D38:O38)</f>
        <v>1.8059333333333336</v>
      </c>
    </row>
    <row r="39" spans="2:16" x14ac:dyDescent="0.45">
      <c r="B39" s="23" t="str">
        <f t="shared" si="20"/>
        <v>North Canterbury</v>
      </c>
      <c r="C39" s="23" t="str">
        <f t="shared" si="20"/>
        <v>2020-21</v>
      </c>
      <c r="D39" s="26">
        <f t="shared" si="21"/>
        <v>1.8231000000000002</v>
      </c>
      <c r="E39" s="26">
        <f t="shared" si="21"/>
        <v>1.8333999999999999</v>
      </c>
      <c r="F39" s="26">
        <f t="shared" si="21"/>
        <v>1.9158000000000002</v>
      </c>
      <c r="G39" s="26">
        <f t="shared" si="21"/>
        <v>2.1835999999999998</v>
      </c>
      <c r="H39" s="26">
        <f t="shared" si="21"/>
        <v>2.266</v>
      </c>
      <c r="I39" s="26">
        <f t="shared" si="21"/>
        <v>2.0703</v>
      </c>
      <c r="J39" s="26">
        <f t="shared" si="21"/>
        <v>2.0085000000000002</v>
      </c>
      <c r="K39" s="26">
        <f t="shared" si="21"/>
        <v>1.8849</v>
      </c>
      <c r="L39" s="26">
        <f t="shared" si="21"/>
        <v>1.8231000000000002</v>
      </c>
      <c r="M39" s="26">
        <f t="shared" si="21"/>
        <v>1.6479999999999999</v>
      </c>
      <c r="N39" s="26">
        <f t="shared" si="21"/>
        <v>1.5553000000000001</v>
      </c>
      <c r="O39" s="26">
        <f t="shared" si="21"/>
        <v>1.5038</v>
      </c>
      <c r="P39" s="26">
        <f t="shared" si="22"/>
        <v>1.8763166666666666</v>
      </c>
    </row>
    <row r="40" spans="2:16" x14ac:dyDescent="0.45">
      <c r="B40" s="23" t="str">
        <f t="shared" si="20"/>
        <v>North Canterbury</v>
      </c>
      <c r="C40" s="23" t="str">
        <f t="shared" si="20"/>
        <v>2019-20</v>
      </c>
      <c r="D40" s="26">
        <f t="shared" si="21"/>
        <v>1.7819</v>
      </c>
      <c r="E40" s="26">
        <f t="shared" si="21"/>
        <v>1.8231000000000004</v>
      </c>
      <c r="F40" s="26">
        <f t="shared" si="21"/>
        <v>1.8334000000000001</v>
      </c>
      <c r="G40" s="26">
        <f t="shared" si="21"/>
        <v>2.2041999999999997</v>
      </c>
      <c r="H40" s="26">
        <f t="shared" si="21"/>
        <v>2.2350999999999996</v>
      </c>
      <c r="I40" s="26">
        <f t="shared" si="21"/>
        <v>2.0703</v>
      </c>
      <c r="J40" s="26">
        <f t="shared" si="21"/>
        <v>2.0085000000000002</v>
      </c>
      <c r="K40" s="26">
        <f t="shared" si="21"/>
        <v>1.9157999999999999</v>
      </c>
      <c r="L40" s="26">
        <f t="shared" si="21"/>
        <v>1.7510000000000001</v>
      </c>
      <c r="M40" s="26">
        <f t="shared" si="21"/>
        <v>1.6170999999999998</v>
      </c>
      <c r="N40" s="26">
        <f t="shared" si="21"/>
        <v>1.5449999999999999</v>
      </c>
      <c r="O40" s="26">
        <f t="shared" si="21"/>
        <v>1.5244000000000002</v>
      </c>
      <c r="P40" s="26">
        <f t="shared" si="22"/>
        <v>1.8591500000000003</v>
      </c>
    </row>
    <row r="41" spans="2:16" s="24" customFormat="1" ht="15.75" x14ac:dyDescent="0.45">
      <c r="B41" s="24" t="str">
        <f>B10</f>
        <v>Average</v>
      </c>
      <c r="D41" s="27">
        <f>AVERAGE(D37:D40)</f>
        <v>1.7716000000000001</v>
      </c>
      <c r="E41" s="27">
        <f t="shared" ref="E41:O41" si="23">AVERAGE(E37:E40)</f>
        <v>1.789625</v>
      </c>
      <c r="F41" s="27">
        <f t="shared" si="23"/>
        <v>1.8359750000000001</v>
      </c>
      <c r="G41" s="27">
        <f t="shared" si="23"/>
        <v>2.1424000000000003</v>
      </c>
      <c r="H41" s="27">
        <f t="shared" si="23"/>
        <v>2.1990499999999997</v>
      </c>
      <c r="I41" s="27">
        <f t="shared" si="23"/>
        <v>2.0522749999999998</v>
      </c>
      <c r="J41" s="27">
        <f t="shared" si="23"/>
        <v>1.9569999999999999</v>
      </c>
      <c r="K41" s="27">
        <f t="shared" si="23"/>
        <v>1.8539999999999999</v>
      </c>
      <c r="L41" s="27">
        <f t="shared" si="23"/>
        <v>1.7535750000000001</v>
      </c>
      <c r="M41" s="27">
        <f t="shared" si="23"/>
        <v>1.6170999999999998</v>
      </c>
      <c r="N41" s="27">
        <f t="shared" si="23"/>
        <v>1.52955</v>
      </c>
      <c r="O41" s="27">
        <f t="shared" si="23"/>
        <v>1.4651750000000001</v>
      </c>
      <c r="P41" s="49">
        <f t="shared" si="22"/>
        <v>1.8306104166666666</v>
      </c>
    </row>
    <row r="42" spans="2:16" x14ac:dyDescent="0.45">
      <c r="P42" s="27"/>
    </row>
    <row r="43" spans="2:16" x14ac:dyDescent="0.45">
      <c r="B43" s="24" t="s">
        <v>63</v>
      </c>
      <c r="P43" s="31"/>
    </row>
    <row r="44" spans="2:16" x14ac:dyDescent="0.45">
      <c r="B44" s="23" t="str">
        <f>B37</f>
        <v>North Canterbury</v>
      </c>
      <c r="C44" s="23" t="str">
        <f>C37</f>
        <v>2022-23</v>
      </c>
      <c r="D44" s="26">
        <f>D37*D$5</f>
        <v>50.058</v>
      </c>
      <c r="E44" s="26">
        <f t="shared" ref="E44:O44" si="24">E37*E$5</f>
        <v>51.726599999999998</v>
      </c>
      <c r="F44" s="26">
        <f t="shared" si="24"/>
        <v>55.877499999999998</v>
      </c>
      <c r="G44" s="26">
        <f t="shared" si="24"/>
        <v>62.417999999999999</v>
      </c>
      <c r="H44" s="26">
        <f t="shared" si="24"/>
        <v>65.456499999999991</v>
      </c>
      <c r="I44" s="26">
        <f t="shared" si="24"/>
        <v>61.491000000000014</v>
      </c>
      <c r="J44" s="26">
        <f t="shared" si="24"/>
        <v>59.389799999999994</v>
      </c>
      <c r="K44" s="26">
        <f t="shared" si="24"/>
        <v>55.877499999999998</v>
      </c>
      <c r="L44" s="26">
        <f t="shared" si="24"/>
        <v>48.4512</v>
      </c>
      <c r="M44" s="26">
        <f t="shared" si="24"/>
        <v>50.130099999999992</v>
      </c>
      <c r="N44" s="26">
        <f t="shared" si="24"/>
        <v>45.114000000000004</v>
      </c>
      <c r="O44" s="26">
        <f t="shared" si="24"/>
        <v>44.063400000000001</v>
      </c>
      <c r="P44" s="46">
        <f>AVERAGE(D44:O44)</f>
        <v>54.17113333333333</v>
      </c>
    </row>
    <row r="45" spans="2:16" x14ac:dyDescent="0.45">
      <c r="B45" s="23" t="str">
        <f t="shared" ref="B45:C45" si="25">B38</f>
        <v>North Canterbury</v>
      </c>
      <c r="C45" s="23" t="str">
        <f t="shared" si="25"/>
        <v>2021-22</v>
      </c>
      <c r="D45" s="26">
        <f t="shared" ref="D45:O47" si="26">D38*D$5</f>
        <v>54.384</v>
      </c>
      <c r="E45" s="26">
        <f t="shared" si="26"/>
        <v>56.8354</v>
      </c>
      <c r="F45" s="26">
        <f t="shared" si="26"/>
        <v>55.558200000000006</v>
      </c>
      <c r="G45" s="26">
        <f t="shared" si="26"/>
        <v>63.036000000000016</v>
      </c>
      <c r="H45" s="26">
        <f t="shared" si="26"/>
        <v>67.691599999999994</v>
      </c>
      <c r="I45" s="26">
        <f t="shared" si="26"/>
        <v>60.564000000000007</v>
      </c>
      <c r="J45" s="26">
        <f t="shared" si="26"/>
        <v>58.751199999999997</v>
      </c>
      <c r="K45" s="26">
        <f t="shared" si="26"/>
        <v>56.196799999999989</v>
      </c>
      <c r="L45" s="26">
        <f t="shared" si="26"/>
        <v>47.874400000000009</v>
      </c>
      <c r="M45" s="26">
        <f t="shared" si="26"/>
        <v>49.172199999999997</v>
      </c>
      <c r="N45" s="26">
        <f t="shared" si="26"/>
        <v>45.423000000000002</v>
      </c>
      <c r="O45" s="26">
        <f t="shared" si="26"/>
        <v>43.74410000000001</v>
      </c>
      <c r="P45" s="46">
        <f t="shared" ref="P45:P49" si="27">AVERAGE(D45:O45)</f>
        <v>54.935908333333337</v>
      </c>
    </row>
    <row r="46" spans="2:16" x14ac:dyDescent="0.45">
      <c r="B46" s="23" t="str">
        <f t="shared" ref="B46:C46" si="28">B39</f>
        <v>North Canterbury</v>
      </c>
      <c r="C46" s="23" t="str">
        <f t="shared" si="28"/>
        <v>2020-21</v>
      </c>
      <c r="D46" s="26">
        <f t="shared" si="26"/>
        <v>54.693000000000005</v>
      </c>
      <c r="E46" s="26">
        <f t="shared" si="26"/>
        <v>56.8354</v>
      </c>
      <c r="F46" s="26">
        <f t="shared" si="26"/>
        <v>59.389800000000008</v>
      </c>
      <c r="G46" s="26">
        <f t="shared" si="26"/>
        <v>65.507999999999996</v>
      </c>
      <c r="H46" s="26">
        <f t="shared" si="26"/>
        <v>70.245999999999995</v>
      </c>
      <c r="I46" s="26">
        <f t="shared" si="26"/>
        <v>62.109000000000002</v>
      </c>
      <c r="J46" s="26">
        <f t="shared" si="26"/>
        <v>62.263500000000008</v>
      </c>
      <c r="K46" s="26">
        <f t="shared" si="26"/>
        <v>58.431899999999999</v>
      </c>
      <c r="L46" s="26">
        <f t="shared" si="26"/>
        <v>51.046800000000005</v>
      </c>
      <c r="M46" s="26">
        <f t="shared" si="26"/>
        <v>51.087999999999994</v>
      </c>
      <c r="N46" s="26">
        <f t="shared" si="26"/>
        <v>46.659000000000006</v>
      </c>
      <c r="O46" s="26">
        <f t="shared" si="26"/>
        <v>46.617800000000003</v>
      </c>
      <c r="P46" s="46">
        <f t="shared" si="27"/>
        <v>57.074016666666658</v>
      </c>
    </row>
    <row r="47" spans="2:16" x14ac:dyDescent="0.45">
      <c r="B47" s="23" t="str">
        <f t="shared" ref="B47:C47" si="29">B40</f>
        <v>North Canterbury</v>
      </c>
      <c r="C47" s="23" t="str">
        <f t="shared" si="29"/>
        <v>2019-20</v>
      </c>
      <c r="D47" s="26">
        <f t="shared" si="26"/>
        <v>53.457000000000001</v>
      </c>
      <c r="E47" s="26">
        <f t="shared" si="26"/>
        <v>56.516100000000009</v>
      </c>
      <c r="F47" s="26">
        <f t="shared" si="26"/>
        <v>56.835400000000007</v>
      </c>
      <c r="G47" s="26">
        <f t="shared" si="26"/>
        <v>66.125999999999991</v>
      </c>
      <c r="H47" s="26">
        <f t="shared" si="26"/>
        <v>69.288099999999986</v>
      </c>
      <c r="I47" s="26">
        <f t="shared" si="26"/>
        <v>62.109000000000002</v>
      </c>
      <c r="J47" s="26">
        <f t="shared" si="26"/>
        <v>62.263500000000008</v>
      </c>
      <c r="K47" s="26">
        <f t="shared" si="26"/>
        <v>59.389800000000001</v>
      </c>
      <c r="L47" s="26">
        <f t="shared" si="26"/>
        <v>49.028000000000006</v>
      </c>
      <c r="M47" s="26">
        <f t="shared" si="26"/>
        <v>50.130099999999992</v>
      </c>
      <c r="N47" s="26">
        <f t="shared" si="26"/>
        <v>46.349999999999994</v>
      </c>
      <c r="O47" s="26">
        <f t="shared" si="26"/>
        <v>47.256400000000006</v>
      </c>
      <c r="P47" s="46">
        <f t="shared" si="27"/>
        <v>56.562449999999991</v>
      </c>
    </row>
    <row r="48" spans="2:16" x14ac:dyDescent="0.45"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46"/>
    </row>
    <row r="49" spans="2:16" s="24" customFormat="1" ht="15.75" x14ac:dyDescent="0.45">
      <c r="B49" s="24" t="str">
        <f t="shared" ref="B49" si="30">B41</f>
        <v>Average</v>
      </c>
      <c r="D49" s="70">
        <f>AVERAGE(D44:D47)</f>
        <v>53.148000000000003</v>
      </c>
      <c r="E49" s="70">
        <f t="shared" ref="E49:O49" si="31">AVERAGE(E44:E47)</f>
        <v>55.478375</v>
      </c>
      <c r="F49" s="70">
        <f t="shared" si="31"/>
        <v>56.915225000000007</v>
      </c>
      <c r="G49" s="70">
        <f t="shared" si="31"/>
        <v>64.271999999999991</v>
      </c>
      <c r="H49" s="70">
        <f t="shared" si="31"/>
        <v>68.170549999999992</v>
      </c>
      <c r="I49" s="70">
        <f t="shared" si="31"/>
        <v>61.568250000000006</v>
      </c>
      <c r="J49" s="70">
        <f t="shared" si="31"/>
        <v>60.667000000000002</v>
      </c>
      <c r="K49" s="70">
        <f t="shared" si="31"/>
        <v>57.473999999999997</v>
      </c>
      <c r="L49" s="70">
        <f t="shared" si="31"/>
        <v>49.100100000000012</v>
      </c>
      <c r="M49" s="70">
        <f t="shared" si="31"/>
        <v>50.130099999999992</v>
      </c>
      <c r="N49" s="70">
        <f t="shared" si="31"/>
        <v>45.886500000000005</v>
      </c>
      <c r="O49" s="70">
        <f t="shared" si="31"/>
        <v>45.420425000000002</v>
      </c>
      <c r="P49" s="48">
        <f t="shared" si="27"/>
        <v>55.685877083333338</v>
      </c>
    </row>
    <row r="51" spans="2:16" x14ac:dyDescent="0.45">
      <c r="D51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6150-E999-423D-9DF4-16C20A4A5F83}">
  <dimension ref="B2:P70"/>
  <sheetViews>
    <sheetView workbookViewId="0">
      <selection activeCell="D8" sqref="D8"/>
    </sheetView>
  </sheetViews>
  <sheetFormatPr defaultRowHeight="14.25" x14ac:dyDescent="0.45"/>
  <cols>
    <col min="1" max="1" width="4.796875" style="23" customWidth="1"/>
    <col min="2" max="2" width="18.53125" style="23" customWidth="1"/>
    <col min="3" max="3" width="16.1328125" style="35" customWidth="1"/>
    <col min="4" max="15" width="11.33203125" style="23" customWidth="1"/>
    <col min="16" max="16384" width="9.06640625" style="23"/>
  </cols>
  <sheetData>
    <row r="2" spans="2:16" x14ac:dyDescent="0.45">
      <c r="B2" s="54" t="s">
        <v>112</v>
      </c>
    </row>
    <row r="3" spans="2:16" x14ac:dyDescent="0.45">
      <c r="B3" s="24" t="s">
        <v>64</v>
      </c>
      <c r="P3" s="24"/>
    </row>
    <row r="4" spans="2:16" x14ac:dyDescent="0.45">
      <c r="B4" s="23" t="str">
        <f>'Milk production'!B6</f>
        <v>North Canterbury</v>
      </c>
      <c r="C4" s="35" t="str">
        <f>'Milk production'!C6</f>
        <v>2022-23</v>
      </c>
      <c r="D4" s="23">
        <v>792</v>
      </c>
      <c r="P4" s="24"/>
    </row>
    <row r="5" spans="2:16" x14ac:dyDescent="0.45">
      <c r="B5" s="23" t="str">
        <f>'Milk production'!B7</f>
        <v>North Canterbury</v>
      </c>
      <c r="C5" s="35" t="str">
        <f>'Milk production'!C7</f>
        <v>2021-22</v>
      </c>
      <c r="D5" s="23">
        <v>820</v>
      </c>
      <c r="E5" s="29"/>
      <c r="P5" s="24"/>
    </row>
    <row r="6" spans="2:16" x14ac:dyDescent="0.45">
      <c r="B6" s="23" t="str">
        <f>'Milk production'!B8</f>
        <v>North Canterbury</v>
      </c>
      <c r="C6" s="35" t="str">
        <f>'Milk production'!C8</f>
        <v>2020-21</v>
      </c>
      <c r="D6" s="23">
        <v>818</v>
      </c>
      <c r="E6" s="29"/>
      <c r="P6" s="24"/>
    </row>
    <row r="7" spans="2:16" x14ac:dyDescent="0.45">
      <c r="B7" s="23" t="str">
        <f>'Milk production'!B9</f>
        <v>North Canterbury</v>
      </c>
      <c r="C7" s="35" t="str">
        <f>'Milk production'!C9</f>
        <v>2019-20</v>
      </c>
      <c r="D7" s="23">
        <v>815</v>
      </c>
      <c r="P7" s="24"/>
    </row>
    <row r="8" spans="2:16" s="24" customFormat="1" x14ac:dyDescent="0.45">
      <c r="B8" s="24" t="s">
        <v>133</v>
      </c>
      <c r="C8" s="38"/>
      <c r="D8" s="71">
        <f>AVERAGE(D4:D7)</f>
        <v>811.25</v>
      </c>
    </row>
    <row r="9" spans="2:16" s="24" customFormat="1" x14ac:dyDescent="0.45">
      <c r="C9" s="38"/>
      <c r="D9" s="32"/>
    </row>
    <row r="10" spans="2:16" s="53" customFormat="1" x14ac:dyDescent="0.45">
      <c r="B10" s="53" t="s">
        <v>113</v>
      </c>
      <c r="C10" s="62"/>
    </row>
    <row r="11" spans="2:16" s="24" customFormat="1" x14ac:dyDescent="0.45">
      <c r="B11" s="24" t="s">
        <v>68</v>
      </c>
      <c r="C11" s="38"/>
      <c r="D11" s="24" t="str">
        <f>'Milk production'!D4</f>
        <v>June</v>
      </c>
      <c r="E11" s="24" t="str">
        <f>'Milk production'!E4</f>
        <v>July</v>
      </c>
      <c r="F11" s="24" t="str">
        <f>'Milk production'!F4</f>
        <v>August</v>
      </c>
      <c r="G11" s="24" t="str">
        <f>'Milk production'!G4</f>
        <v>September</v>
      </c>
      <c r="H11" s="24" t="str">
        <f>'Milk production'!H4</f>
        <v>October</v>
      </c>
      <c r="I11" s="24" t="str">
        <f>'Milk production'!I4</f>
        <v>November</v>
      </c>
      <c r="J11" s="24" t="str">
        <f>'Milk production'!J4</f>
        <v>December</v>
      </c>
      <c r="K11" s="24" t="str">
        <f>'Milk production'!K4</f>
        <v>January</v>
      </c>
      <c r="L11" s="24" t="str">
        <f>'Milk production'!L4</f>
        <v>February</v>
      </c>
      <c r="M11" s="24" t="str">
        <f>'Milk production'!M4</f>
        <v>March</v>
      </c>
      <c r="N11" s="24" t="str">
        <f>'Milk production'!N4</f>
        <v>April</v>
      </c>
      <c r="O11" s="24" t="str">
        <f>'Milk production'!O4</f>
        <v>May</v>
      </c>
    </row>
    <row r="12" spans="2:16" x14ac:dyDescent="0.45">
      <c r="B12" s="23" t="str">
        <f t="shared" ref="B12:C15" si="0">B4</f>
        <v>North Canterbury</v>
      </c>
      <c r="C12" s="35" t="str">
        <f t="shared" si="0"/>
        <v>2022-23</v>
      </c>
      <c r="D12" s="35">
        <v>6</v>
      </c>
      <c r="E12" s="36">
        <v>302</v>
      </c>
      <c r="F12" s="36">
        <v>907</v>
      </c>
      <c r="G12" s="36">
        <v>904</v>
      </c>
      <c r="H12" s="36">
        <v>891</v>
      </c>
      <c r="I12" s="36">
        <v>890</v>
      </c>
      <c r="J12" s="36">
        <v>882</v>
      </c>
      <c r="K12" s="36">
        <v>880</v>
      </c>
      <c r="L12" s="36">
        <v>864</v>
      </c>
      <c r="M12" s="36">
        <v>759</v>
      </c>
      <c r="N12" s="36">
        <v>741</v>
      </c>
      <c r="O12" s="36">
        <v>6</v>
      </c>
      <c r="P12" s="24"/>
    </row>
    <row r="13" spans="2:16" x14ac:dyDescent="0.45">
      <c r="B13" s="23" t="str">
        <f t="shared" si="0"/>
        <v>North Canterbury</v>
      </c>
      <c r="C13" s="35" t="str">
        <f t="shared" si="0"/>
        <v>2021-22</v>
      </c>
      <c r="D13" s="35">
        <v>12</v>
      </c>
      <c r="E13" s="36">
        <v>308</v>
      </c>
      <c r="F13" s="36">
        <v>915</v>
      </c>
      <c r="G13" s="36">
        <v>914</v>
      </c>
      <c r="H13" s="36">
        <v>910</v>
      </c>
      <c r="I13" s="36">
        <v>911</v>
      </c>
      <c r="J13" s="36">
        <v>884</v>
      </c>
      <c r="K13" s="36">
        <v>879</v>
      </c>
      <c r="L13" s="36">
        <v>877</v>
      </c>
      <c r="M13" s="36">
        <v>842</v>
      </c>
      <c r="N13" s="36">
        <v>791</v>
      </c>
      <c r="O13" s="36">
        <v>228</v>
      </c>
      <c r="P13" s="24"/>
    </row>
    <row r="14" spans="2:16" x14ac:dyDescent="0.45">
      <c r="B14" s="23" t="str">
        <f t="shared" si="0"/>
        <v>North Canterbury</v>
      </c>
      <c r="C14" s="35" t="str">
        <f t="shared" si="0"/>
        <v>2020-21</v>
      </c>
      <c r="D14" s="35">
        <v>0</v>
      </c>
      <c r="E14" s="36">
        <v>299</v>
      </c>
      <c r="F14" s="36">
        <v>899</v>
      </c>
      <c r="G14" s="36">
        <v>881</v>
      </c>
      <c r="H14" s="36">
        <v>878</v>
      </c>
      <c r="I14" s="36">
        <v>854</v>
      </c>
      <c r="J14" s="36">
        <v>853</v>
      </c>
      <c r="K14" s="36">
        <v>852</v>
      </c>
      <c r="L14" s="36">
        <v>849</v>
      </c>
      <c r="M14" s="36">
        <v>805</v>
      </c>
      <c r="N14" s="36">
        <v>757</v>
      </c>
      <c r="O14" s="36">
        <v>707</v>
      </c>
      <c r="P14" s="24"/>
    </row>
    <row r="15" spans="2:16" x14ac:dyDescent="0.45">
      <c r="B15" s="23" t="str">
        <f t="shared" si="0"/>
        <v>North Canterbury</v>
      </c>
      <c r="C15" s="35" t="str">
        <f t="shared" si="0"/>
        <v>2019-20</v>
      </c>
      <c r="D15" s="35">
        <v>0</v>
      </c>
      <c r="E15" s="36">
        <v>285</v>
      </c>
      <c r="F15" s="36">
        <v>856</v>
      </c>
      <c r="G15" s="36">
        <v>856</v>
      </c>
      <c r="H15" s="36">
        <v>853</v>
      </c>
      <c r="I15" s="36">
        <v>842</v>
      </c>
      <c r="J15" s="36">
        <v>839</v>
      </c>
      <c r="K15" s="36">
        <v>839</v>
      </c>
      <c r="L15" s="36">
        <v>837</v>
      </c>
      <c r="M15" s="36">
        <v>800</v>
      </c>
      <c r="N15" s="36">
        <v>766</v>
      </c>
      <c r="O15" s="36">
        <v>648</v>
      </c>
      <c r="P15" s="24"/>
    </row>
    <row r="16" spans="2:16" s="24" customFormat="1" x14ac:dyDescent="0.45">
      <c r="B16" s="24" t="s">
        <v>66</v>
      </c>
      <c r="C16" s="38" t="s">
        <v>67</v>
      </c>
      <c r="D16" s="37">
        <f>AVERAGE(D12:D15)/AVERAGE($F$12:$F$15)</f>
        <v>5.032149846239866E-3</v>
      </c>
      <c r="E16" s="37">
        <f t="shared" ref="E16:O16" si="1">AVERAGE(E12:E15)/AVERAGE($F$12:$F$15)</f>
        <v>0.33379927313391111</v>
      </c>
      <c r="F16" s="37">
        <f t="shared" si="1"/>
        <v>1</v>
      </c>
      <c r="G16" s="37">
        <f t="shared" si="1"/>
        <v>0.99384959463237355</v>
      </c>
      <c r="H16" s="37">
        <f t="shared" si="1"/>
        <v>0.98741962538440031</v>
      </c>
      <c r="I16" s="37">
        <f t="shared" si="1"/>
        <v>0.9776348895722673</v>
      </c>
      <c r="J16" s="37">
        <f t="shared" si="1"/>
        <v>0.9667318982387475</v>
      </c>
      <c r="K16" s="37">
        <f t="shared" si="1"/>
        <v>0.96449538719597427</v>
      </c>
      <c r="L16" s="37">
        <f t="shared" si="1"/>
        <v>0.95806541794800115</v>
      </c>
      <c r="M16" s="37">
        <f t="shared" si="1"/>
        <v>0.89628180039138938</v>
      </c>
      <c r="N16" s="37">
        <f t="shared" si="1"/>
        <v>0.85406765445904387</v>
      </c>
      <c r="O16" s="37">
        <f t="shared" si="1"/>
        <v>0.44422700587084146</v>
      </c>
    </row>
    <row r="17" spans="2:16" x14ac:dyDescent="0.45">
      <c r="P17" s="24"/>
    </row>
    <row r="18" spans="2:16" x14ac:dyDescent="0.45">
      <c r="B18" s="24" t="s">
        <v>69</v>
      </c>
      <c r="P18" s="24"/>
    </row>
    <row r="19" spans="2:16" x14ac:dyDescent="0.45">
      <c r="B19" s="23" t="str">
        <f>B12</f>
        <v>North Canterbury</v>
      </c>
      <c r="C19" s="35" t="str">
        <f>C12</f>
        <v>2022-23</v>
      </c>
      <c r="D19" s="35">
        <v>0</v>
      </c>
      <c r="E19" s="36">
        <v>222</v>
      </c>
      <c r="F19" s="36">
        <v>406</v>
      </c>
      <c r="G19" s="36">
        <v>394</v>
      </c>
      <c r="H19" s="36">
        <v>393</v>
      </c>
      <c r="I19" s="36">
        <v>392</v>
      </c>
      <c r="J19" s="36">
        <v>391</v>
      </c>
      <c r="K19" s="36">
        <v>391</v>
      </c>
      <c r="L19" s="36">
        <v>375</v>
      </c>
      <c r="M19" s="36">
        <v>370</v>
      </c>
      <c r="N19" s="36">
        <v>330</v>
      </c>
      <c r="O19" s="35">
        <v>0</v>
      </c>
      <c r="P19" s="34"/>
    </row>
    <row r="20" spans="2:16" x14ac:dyDescent="0.45">
      <c r="B20" s="23" t="str">
        <f t="shared" ref="B20:C20" si="2">B13</f>
        <v>North Canterbury</v>
      </c>
      <c r="C20" s="35" t="str">
        <f t="shared" si="2"/>
        <v>2021-22</v>
      </c>
      <c r="D20" s="35">
        <v>5</v>
      </c>
      <c r="E20" s="36">
        <v>269</v>
      </c>
      <c r="F20" s="36">
        <v>408</v>
      </c>
      <c r="G20" s="36">
        <v>400</v>
      </c>
      <c r="H20" s="36">
        <v>394</v>
      </c>
      <c r="I20" s="36">
        <v>390</v>
      </c>
      <c r="J20" s="36">
        <v>390</v>
      </c>
      <c r="K20" s="36">
        <v>390</v>
      </c>
      <c r="L20" s="36">
        <v>385</v>
      </c>
      <c r="M20" s="36">
        <v>371</v>
      </c>
      <c r="N20" s="36">
        <v>370</v>
      </c>
      <c r="O20" s="36">
        <v>5</v>
      </c>
      <c r="P20" s="39"/>
    </row>
    <row r="21" spans="2:16" x14ac:dyDescent="0.45">
      <c r="B21" s="23" t="str">
        <f t="shared" ref="B21:C21" si="3">B14</f>
        <v>North Canterbury</v>
      </c>
      <c r="C21" s="35" t="str">
        <f t="shared" si="3"/>
        <v>2020-21</v>
      </c>
      <c r="D21" s="35">
        <v>0</v>
      </c>
      <c r="E21" s="36">
        <v>246</v>
      </c>
      <c r="F21" s="36">
        <v>422</v>
      </c>
      <c r="G21" s="36">
        <v>411</v>
      </c>
      <c r="H21" s="36">
        <v>405</v>
      </c>
      <c r="I21" s="36">
        <v>401</v>
      </c>
      <c r="J21" s="36">
        <v>399</v>
      </c>
      <c r="K21" s="36">
        <v>398</v>
      </c>
      <c r="L21" s="36">
        <v>385</v>
      </c>
      <c r="M21" s="36">
        <v>381</v>
      </c>
      <c r="N21" s="36">
        <v>381</v>
      </c>
      <c r="O21" s="35">
        <v>0</v>
      </c>
      <c r="P21" s="24"/>
    </row>
    <row r="22" spans="2:16" x14ac:dyDescent="0.45">
      <c r="B22" s="23" t="str">
        <f t="shared" ref="B22:C22" si="4">B15</f>
        <v>North Canterbury</v>
      </c>
      <c r="C22" s="35" t="str">
        <f t="shared" si="4"/>
        <v>2019-20</v>
      </c>
      <c r="D22" s="35">
        <v>0</v>
      </c>
      <c r="E22" s="36">
        <v>200</v>
      </c>
      <c r="F22" s="36">
        <v>315</v>
      </c>
      <c r="G22" s="36">
        <v>415</v>
      </c>
      <c r="H22" s="36">
        <v>415</v>
      </c>
      <c r="I22" s="36">
        <v>415</v>
      </c>
      <c r="J22" s="36">
        <v>415</v>
      </c>
      <c r="K22" s="36">
        <v>415</v>
      </c>
      <c r="L22" s="36">
        <v>415</v>
      </c>
      <c r="M22" s="36">
        <v>370</v>
      </c>
      <c r="N22" s="36">
        <v>390</v>
      </c>
      <c r="O22" s="35">
        <v>0</v>
      </c>
      <c r="P22" s="24"/>
    </row>
    <row r="23" spans="2:16" s="24" customFormat="1" x14ac:dyDescent="0.45">
      <c r="B23" s="24" t="str">
        <f>B16</f>
        <v>Average distribution</v>
      </c>
      <c r="C23" s="38" t="str">
        <f>C16</f>
        <v>%</v>
      </c>
      <c r="D23" s="37">
        <f>AVERAGE(D19:D22)/AVERAGE($F$19:$F$21,$G$22)</f>
        <v>3.0284675953967293E-3</v>
      </c>
      <c r="E23" s="37">
        <f t="shared" ref="E23:O23" si="5">AVERAGE(E19:E22)/AVERAGE($F$19:$F$21,$G$22)</f>
        <v>0.56753482737734706</v>
      </c>
      <c r="F23" s="37">
        <f t="shared" si="5"/>
        <v>0.93943064809206545</v>
      </c>
      <c r="G23" s="37">
        <f t="shared" si="5"/>
        <v>0.98122350090854027</v>
      </c>
      <c r="H23" s="37">
        <f t="shared" si="5"/>
        <v>0.97334948516050879</v>
      </c>
      <c r="I23" s="37">
        <f t="shared" si="5"/>
        <v>0.96789824348879472</v>
      </c>
      <c r="J23" s="37">
        <f t="shared" si="5"/>
        <v>0.96608116293155666</v>
      </c>
      <c r="K23" s="37">
        <f t="shared" si="5"/>
        <v>0.96547546941247731</v>
      </c>
      <c r="L23" s="37">
        <f t="shared" si="5"/>
        <v>0.94488188976377951</v>
      </c>
      <c r="M23" s="37">
        <f t="shared" si="5"/>
        <v>0.90369473046638404</v>
      </c>
      <c r="N23" s="37">
        <f t="shared" si="5"/>
        <v>0.89097516656571774</v>
      </c>
      <c r="O23" s="37">
        <f t="shared" si="5"/>
        <v>3.0284675953967293E-3</v>
      </c>
    </row>
    <row r="25" spans="2:16" x14ac:dyDescent="0.45">
      <c r="B25" s="24" t="s">
        <v>70</v>
      </c>
      <c r="C25" s="3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2:16" x14ac:dyDescent="0.45">
      <c r="B26" s="23" t="str">
        <f t="shared" ref="B26:C29" si="6">B19</f>
        <v>North Canterbury</v>
      </c>
      <c r="C26" s="35" t="str">
        <f t="shared" si="6"/>
        <v>2022-23</v>
      </c>
      <c r="D26" s="23">
        <v>0</v>
      </c>
      <c r="E26" s="41">
        <v>314</v>
      </c>
      <c r="F26" s="41">
        <v>943</v>
      </c>
      <c r="G26" s="41">
        <v>937</v>
      </c>
      <c r="H26" s="41">
        <v>922</v>
      </c>
      <c r="I26" s="41">
        <v>920</v>
      </c>
      <c r="J26" s="41">
        <v>912</v>
      </c>
      <c r="K26" s="41">
        <v>912</v>
      </c>
      <c r="L26" s="41">
        <v>880</v>
      </c>
      <c r="M26" s="41">
        <v>774</v>
      </c>
      <c r="N26" s="41">
        <v>772</v>
      </c>
      <c r="O26" s="41">
        <v>0</v>
      </c>
    </row>
    <row r="27" spans="2:16" x14ac:dyDescent="0.45">
      <c r="B27" s="23" t="str">
        <f t="shared" si="6"/>
        <v>North Canterbury</v>
      </c>
      <c r="C27" s="35" t="str">
        <f t="shared" si="6"/>
        <v>2021-22</v>
      </c>
      <c r="D27" s="23">
        <v>16</v>
      </c>
      <c r="E27" s="41">
        <v>402</v>
      </c>
      <c r="F27" s="41">
        <v>1206</v>
      </c>
      <c r="G27" s="41">
        <v>1239</v>
      </c>
      <c r="H27" s="41">
        <v>1230</v>
      </c>
      <c r="I27" s="41">
        <v>1127</v>
      </c>
      <c r="J27" s="41">
        <v>976</v>
      </c>
      <c r="K27" s="41">
        <v>915</v>
      </c>
      <c r="L27" s="41">
        <v>913</v>
      </c>
      <c r="M27" s="41">
        <v>874</v>
      </c>
      <c r="N27" s="41">
        <v>798</v>
      </c>
      <c r="O27" s="41">
        <v>503</v>
      </c>
      <c r="P27" s="33"/>
    </row>
    <row r="28" spans="2:16" x14ac:dyDescent="0.45">
      <c r="B28" s="23" t="str">
        <f t="shared" si="6"/>
        <v>North Canterbury</v>
      </c>
      <c r="C28" s="35" t="str">
        <f t="shared" si="6"/>
        <v>2020-21</v>
      </c>
      <c r="D28" s="23">
        <v>0</v>
      </c>
      <c r="E28" s="41">
        <v>318</v>
      </c>
      <c r="F28" s="41">
        <v>955</v>
      </c>
      <c r="G28" s="41">
        <v>937</v>
      </c>
      <c r="H28" s="41">
        <v>932</v>
      </c>
      <c r="I28" s="41">
        <v>907</v>
      </c>
      <c r="J28" s="41">
        <v>906</v>
      </c>
      <c r="K28" s="41">
        <v>905</v>
      </c>
      <c r="L28" s="41">
        <v>896</v>
      </c>
      <c r="M28" s="41">
        <v>849</v>
      </c>
      <c r="N28" s="41">
        <v>727</v>
      </c>
      <c r="O28" s="41">
        <v>727</v>
      </c>
    </row>
    <row r="29" spans="2:16" x14ac:dyDescent="0.45">
      <c r="B29" s="23" t="str">
        <f t="shared" si="6"/>
        <v>North Canterbury</v>
      </c>
      <c r="C29" s="35" t="str">
        <f t="shared" si="6"/>
        <v>2019-20</v>
      </c>
      <c r="D29" s="23">
        <v>0</v>
      </c>
      <c r="E29" s="41">
        <v>922</v>
      </c>
      <c r="F29" s="41">
        <v>922</v>
      </c>
      <c r="G29" s="41">
        <v>912</v>
      </c>
      <c r="H29" s="41">
        <v>892</v>
      </c>
      <c r="I29" s="41">
        <v>888</v>
      </c>
      <c r="J29" s="41">
        <v>888</v>
      </c>
      <c r="K29" s="41">
        <v>888</v>
      </c>
      <c r="L29" s="41">
        <v>886</v>
      </c>
      <c r="M29" s="41">
        <v>1077</v>
      </c>
      <c r="N29" s="41">
        <v>874</v>
      </c>
      <c r="O29" s="41">
        <v>812</v>
      </c>
    </row>
    <row r="30" spans="2:16" x14ac:dyDescent="0.45">
      <c r="B30" s="24" t="s">
        <v>66</v>
      </c>
      <c r="C30" s="38" t="s">
        <v>67</v>
      </c>
      <c r="D30" s="37">
        <f>AVERAGE(D26:D29)/AVERAGE($F$26:$F$29)</f>
        <v>3.9741679085941381E-3</v>
      </c>
      <c r="E30" s="37">
        <f t="shared" ref="E30:O30" si="7">AVERAGE(E26:E29)/AVERAGE($F$26:$F$29)</f>
        <v>0.48584202682563338</v>
      </c>
      <c r="F30" s="37">
        <f t="shared" si="7"/>
        <v>1</v>
      </c>
      <c r="G30" s="37">
        <f t="shared" si="7"/>
        <v>0.99975161450571282</v>
      </c>
      <c r="H30" s="37">
        <f t="shared" si="7"/>
        <v>0.98758072528564333</v>
      </c>
      <c r="I30" s="37">
        <f t="shared" si="7"/>
        <v>0.9542970690511674</v>
      </c>
      <c r="J30" s="37">
        <f t="shared" si="7"/>
        <v>0.91455538996522601</v>
      </c>
      <c r="K30" s="37">
        <f t="shared" si="7"/>
        <v>0.8991554893194238</v>
      </c>
      <c r="L30" s="37">
        <f t="shared" si="7"/>
        <v>0.88797814207650272</v>
      </c>
      <c r="M30" s="37">
        <f t="shared" si="7"/>
        <v>0.88772975658221565</v>
      </c>
      <c r="N30" s="37">
        <f t="shared" si="7"/>
        <v>0.78763040238450077</v>
      </c>
      <c r="O30" s="37">
        <f t="shared" si="7"/>
        <v>0.5072031793343269</v>
      </c>
    </row>
    <row r="31" spans="2:16" x14ac:dyDescent="0.45">
      <c r="B31" s="24"/>
      <c r="C31" s="38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2:16" x14ac:dyDescent="0.45">
      <c r="B32" s="24" t="s">
        <v>71</v>
      </c>
      <c r="C32" s="38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2:16" x14ac:dyDescent="0.45">
      <c r="B33" s="24" t="str">
        <f>B26</f>
        <v>North Canterbury</v>
      </c>
      <c r="C33" s="35" t="str">
        <f>C26</f>
        <v>2022-23</v>
      </c>
      <c r="D33" s="43">
        <v>20</v>
      </c>
      <c r="E33" s="42">
        <v>343</v>
      </c>
      <c r="F33" s="42">
        <v>1031</v>
      </c>
      <c r="G33" s="42">
        <v>1027</v>
      </c>
      <c r="H33" s="42">
        <v>1023</v>
      </c>
      <c r="I33" s="42">
        <v>1022</v>
      </c>
      <c r="J33" s="42">
        <v>1003</v>
      </c>
      <c r="K33" s="42">
        <v>1003</v>
      </c>
      <c r="L33" s="42">
        <v>1002</v>
      </c>
      <c r="M33" s="42">
        <v>896</v>
      </c>
      <c r="N33" s="42">
        <v>843</v>
      </c>
      <c r="O33" s="42">
        <v>20</v>
      </c>
      <c r="P33" s="36"/>
    </row>
    <row r="34" spans="2:16" x14ac:dyDescent="0.45">
      <c r="B34" s="24" t="str">
        <f t="shared" ref="B34:C34" si="8">B27</f>
        <v>North Canterbury</v>
      </c>
      <c r="C34" s="35" t="str">
        <f t="shared" si="8"/>
        <v>2021-22</v>
      </c>
      <c r="D34" s="43">
        <v>21</v>
      </c>
      <c r="E34" s="36">
        <v>349</v>
      </c>
      <c r="F34" s="36">
        <v>1048</v>
      </c>
      <c r="G34" s="36">
        <v>1046</v>
      </c>
      <c r="H34" s="36">
        <v>1032</v>
      </c>
      <c r="I34" s="36">
        <v>1032</v>
      </c>
      <c r="J34" s="36">
        <v>1027</v>
      </c>
      <c r="K34" s="36">
        <v>1002</v>
      </c>
      <c r="L34" s="36">
        <v>1000</v>
      </c>
      <c r="M34" s="36">
        <v>970</v>
      </c>
      <c r="N34" s="36">
        <v>882</v>
      </c>
      <c r="O34" s="36">
        <v>548</v>
      </c>
      <c r="P34" s="36"/>
    </row>
    <row r="35" spans="2:16" x14ac:dyDescent="0.45">
      <c r="B35" s="24" t="str">
        <f t="shared" ref="B35:C35" si="9">B28</f>
        <v>North Canterbury</v>
      </c>
      <c r="C35" s="35" t="str">
        <f t="shared" si="9"/>
        <v>2020-21</v>
      </c>
      <c r="D35" s="43">
        <v>0</v>
      </c>
      <c r="E35" s="36">
        <v>347</v>
      </c>
      <c r="F35" s="36">
        <v>1041</v>
      </c>
      <c r="G35" s="36">
        <v>1032</v>
      </c>
      <c r="H35" s="36">
        <v>1019</v>
      </c>
      <c r="I35" s="36">
        <v>1005</v>
      </c>
      <c r="J35" s="36">
        <v>1001</v>
      </c>
      <c r="K35" s="36">
        <v>1001</v>
      </c>
      <c r="L35" s="36">
        <v>993</v>
      </c>
      <c r="M35" s="36">
        <v>992</v>
      </c>
      <c r="N35" s="36">
        <v>857</v>
      </c>
      <c r="O35" s="36">
        <v>803</v>
      </c>
      <c r="P35" s="44"/>
    </row>
    <row r="36" spans="2:16" x14ac:dyDescent="0.45">
      <c r="B36" s="24" t="str">
        <f t="shared" ref="B36:C36" si="10">B29</f>
        <v>North Canterbury</v>
      </c>
      <c r="C36" s="35" t="str">
        <f t="shared" si="10"/>
        <v>2019-20</v>
      </c>
      <c r="D36" s="43">
        <v>0</v>
      </c>
      <c r="E36" s="36">
        <v>308</v>
      </c>
      <c r="F36" s="36">
        <v>925</v>
      </c>
      <c r="G36" s="36">
        <v>925</v>
      </c>
      <c r="H36" s="36">
        <v>922</v>
      </c>
      <c r="I36" s="36">
        <v>917</v>
      </c>
      <c r="J36" s="36">
        <v>898</v>
      </c>
      <c r="K36" s="36">
        <v>897</v>
      </c>
      <c r="L36" s="36">
        <v>901</v>
      </c>
      <c r="M36" s="36">
        <v>878</v>
      </c>
      <c r="N36" s="36">
        <v>883</v>
      </c>
      <c r="O36" s="36">
        <v>1014</v>
      </c>
      <c r="P36" s="44"/>
    </row>
    <row r="37" spans="2:16" x14ac:dyDescent="0.45">
      <c r="B37" s="24" t="str">
        <f t="shared" ref="B37:C37" si="11">B30</f>
        <v>Average distribution</v>
      </c>
      <c r="C37" s="38" t="str">
        <f t="shared" si="11"/>
        <v>%</v>
      </c>
      <c r="D37" s="37">
        <f>AVERAGE(D33:D36)/AVERAGE($F$33:$F$36)</f>
        <v>1.0135970333745364E-2</v>
      </c>
      <c r="E37" s="37">
        <f t="shared" ref="E37:O37" si="12">AVERAGE(E33:E36)/AVERAGE($F$33:$F$36)</f>
        <v>0.3330037082818294</v>
      </c>
      <c r="F37" s="37">
        <f t="shared" si="12"/>
        <v>1</v>
      </c>
      <c r="G37" s="37">
        <f t="shared" si="12"/>
        <v>0.99629171817058093</v>
      </c>
      <c r="H37" s="37">
        <f t="shared" si="12"/>
        <v>0.98788627935723117</v>
      </c>
      <c r="I37" s="37">
        <f t="shared" si="12"/>
        <v>0.98294190358467248</v>
      </c>
      <c r="J37" s="37">
        <f t="shared" si="12"/>
        <v>0.97132262051915941</v>
      </c>
      <c r="K37" s="37">
        <f t="shared" si="12"/>
        <v>0.96489493201483312</v>
      </c>
      <c r="L37" s="37">
        <f t="shared" si="12"/>
        <v>0.96316440049443752</v>
      </c>
      <c r="M37" s="37">
        <f t="shared" si="12"/>
        <v>0.92360939431396782</v>
      </c>
      <c r="N37" s="37">
        <f t="shared" si="12"/>
        <v>0.85661310259579726</v>
      </c>
      <c r="O37" s="37">
        <f t="shared" si="12"/>
        <v>0.58961681087762674</v>
      </c>
    </row>
    <row r="38" spans="2:16" x14ac:dyDescent="0.45">
      <c r="B38" s="24"/>
      <c r="C38" s="38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2:16" x14ac:dyDescent="0.45">
      <c r="B39" s="24" t="s">
        <v>72</v>
      </c>
      <c r="C39" s="38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16" x14ac:dyDescent="0.45">
      <c r="B40" s="23" t="str">
        <f>B19</f>
        <v>North Canterbury</v>
      </c>
      <c r="C40" s="35" t="str">
        <f>C19</f>
        <v>2022-23</v>
      </c>
      <c r="D40" s="23">
        <v>0</v>
      </c>
      <c r="E40" s="23">
        <v>485</v>
      </c>
      <c r="F40" s="23">
        <v>752</v>
      </c>
      <c r="G40" s="23">
        <v>750</v>
      </c>
      <c r="H40" s="23">
        <v>750</v>
      </c>
      <c r="I40" s="23">
        <v>750</v>
      </c>
      <c r="J40" s="23">
        <v>750</v>
      </c>
      <c r="K40" s="23">
        <v>750</v>
      </c>
      <c r="L40" s="23">
        <v>715</v>
      </c>
      <c r="M40" s="23">
        <v>715</v>
      </c>
      <c r="N40" s="23">
        <v>675</v>
      </c>
      <c r="O40" s="23">
        <v>0</v>
      </c>
    </row>
    <row r="41" spans="2:16" x14ac:dyDescent="0.45">
      <c r="B41" s="23" t="str">
        <f>B20</f>
        <v>North Canterbury</v>
      </c>
      <c r="C41" s="35" t="str">
        <f>C20</f>
        <v>2021-22</v>
      </c>
      <c r="D41" s="23">
        <v>0</v>
      </c>
      <c r="E41" s="23">
        <v>465</v>
      </c>
      <c r="F41" s="23">
        <v>734</v>
      </c>
      <c r="G41" s="23">
        <v>732</v>
      </c>
      <c r="H41" s="23">
        <v>731</v>
      </c>
      <c r="I41" s="23">
        <v>731</v>
      </c>
      <c r="J41" s="23">
        <v>731</v>
      </c>
      <c r="K41" s="23">
        <v>731</v>
      </c>
      <c r="L41" s="23">
        <v>696</v>
      </c>
      <c r="M41" s="23">
        <v>696</v>
      </c>
      <c r="N41" s="23">
        <v>656</v>
      </c>
      <c r="O41" s="23">
        <v>0</v>
      </c>
    </row>
    <row r="42" spans="2:16" s="24" customFormat="1" x14ac:dyDescent="0.45">
      <c r="B42" s="24" t="str">
        <f>B23</f>
        <v>Average distribution</v>
      </c>
      <c r="C42" s="38" t="str">
        <f>C23</f>
        <v>%</v>
      </c>
      <c r="D42" s="37">
        <f>AVERAGE(D40:D41)/AVERAGE($F$40:$F$41)</f>
        <v>0</v>
      </c>
      <c r="E42" s="37">
        <f t="shared" ref="E42:O42" si="13">AVERAGE(E40:E41)/AVERAGE($F$40:$F$41)</f>
        <v>0.63930013458950197</v>
      </c>
      <c r="F42" s="37">
        <f t="shared" si="13"/>
        <v>1</v>
      </c>
      <c r="G42" s="37">
        <f t="shared" si="13"/>
        <v>0.9973082099596231</v>
      </c>
      <c r="H42" s="37">
        <f t="shared" si="13"/>
        <v>0.99663526244952894</v>
      </c>
      <c r="I42" s="37">
        <f t="shared" si="13"/>
        <v>0.99663526244952894</v>
      </c>
      <c r="J42" s="37">
        <f t="shared" si="13"/>
        <v>0.99663526244952894</v>
      </c>
      <c r="K42" s="37">
        <f t="shared" si="13"/>
        <v>0.99663526244952894</v>
      </c>
      <c r="L42" s="37">
        <f t="shared" si="13"/>
        <v>0.94952893674293404</v>
      </c>
      <c r="M42" s="37">
        <f t="shared" si="13"/>
        <v>0.94952893674293404</v>
      </c>
      <c r="N42" s="37">
        <f t="shared" si="13"/>
        <v>0.89569313593539701</v>
      </c>
      <c r="O42" s="37">
        <f t="shared" si="13"/>
        <v>0</v>
      </c>
    </row>
    <row r="44" spans="2:16" x14ac:dyDescent="0.45">
      <c r="B44" s="24" t="s">
        <v>73</v>
      </c>
    </row>
    <row r="45" spans="2:16" x14ac:dyDescent="0.45">
      <c r="B45" s="23" t="str">
        <f>B40</f>
        <v>North Canterbury</v>
      </c>
      <c r="C45" s="35" t="str">
        <f>C40</f>
        <v>2022-23</v>
      </c>
      <c r="D45" s="23">
        <v>0</v>
      </c>
      <c r="E45" s="23">
        <v>120</v>
      </c>
      <c r="F45" s="23">
        <v>720</v>
      </c>
      <c r="G45" s="23">
        <v>720</v>
      </c>
      <c r="H45" s="23">
        <v>720</v>
      </c>
      <c r="I45" s="23">
        <v>720</v>
      </c>
      <c r="J45" s="23">
        <v>720</v>
      </c>
      <c r="K45" s="23">
        <v>670</v>
      </c>
      <c r="L45" s="23">
        <v>645</v>
      </c>
      <c r="M45" s="23">
        <v>615</v>
      </c>
      <c r="N45" s="23">
        <v>525</v>
      </c>
      <c r="O45" s="23">
        <v>0</v>
      </c>
    </row>
    <row r="46" spans="2:16" s="24" customFormat="1" x14ac:dyDescent="0.45">
      <c r="B46" s="24" t="str">
        <f>B42</f>
        <v>Average distribution</v>
      </c>
      <c r="C46" s="38" t="str">
        <f>C42</f>
        <v>%</v>
      </c>
      <c r="D46" s="45">
        <f>D45/$F$45</f>
        <v>0</v>
      </c>
      <c r="E46" s="45">
        <f t="shared" ref="E46:O46" si="14">E45/$F$45</f>
        <v>0.16666666666666666</v>
      </c>
      <c r="F46" s="45">
        <f t="shared" si="14"/>
        <v>1</v>
      </c>
      <c r="G46" s="45">
        <f t="shared" si="14"/>
        <v>1</v>
      </c>
      <c r="H46" s="45">
        <f t="shared" si="14"/>
        <v>1</v>
      </c>
      <c r="I46" s="45">
        <f t="shared" si="14"/>
        <v>1</v>
      </c>
      <c r="J46" s="45">
        <f t="shared" si="14"/>
        <v>1</v>
      </c>
      <c r="K46" s="45">
        <f t="shared" si="14"/>
        <v>0.93055555555555558</v>
      </c>
      <c r="L46" s="45">
        <f t="shared" si="14"/>
        <v>0.89583333333333337</v>
      </c>
      <c r="M46" s="45">
        <f t="shared" si="14"/>
        <v>0.85416666666666663</v>
      </c>
      <c r="N46" s="45">
        <f t="shared" si="14"/>
        <v>0.72916666666666663</v>
      </c>
      <c r="O46" s="45">
        <f t="shared" si="14"/>
        <v>0</v>
      </c>
    </row>
    <row r="48" spans="2:16" x14ac:dyDescent="0.45">
      <c r="B48" s="24" t="s">
        <v>74</v>
      </c>
    </row>
    <row r="49" spans="2:16" x14ac:dyDescent="0.45">
      <c r="B49" s="23" t="str">
        <f>B45</f>
        <v>North Canterbury</v>
      </c>
      <c r="C49" s="35" t="str">
        <f>C45</f>
        <v>2022-23</v>
      </c>
      <c r="D49" s="23">
        <v>0</v>
      </c>
      <c r="E49" s="23">
        <v>197</v>
      </c>
      <c r="F49" s="23">
        <v>785</v>
      </c>
      <c r="G49" s="23">
        <v>782</v>
      </c>
      <c r="H49" s="23">
        <v>773</v>
      </c>
      <c r="I49" s="23">
        <v>770</v>
      </c>
      <c r="J49" s="23">
        <v>749</v>
      </c>
      <c r="K49" s="23">
        <v>749</v>
      </c>
      <c r="L49" s="23">
        <v>747</v>
      </c>
      <c r="M49" s="23">
        <v>702</v>
      </c>
      <c r="N49" s="23">
        <v>662</v>
      </c>
      <c r="O49" s="23">
        <v>0</v>
      </c>
    </row>
    <row r="50" spans="2:16" x14ac:dyDescent="0.45">
      <c r="B50" s="24" t="str">
        <f>B46</f>
        <v>Average distribution</v>
      </c>
      <c r="C50" s="38" t="str">
        <f>C46</f>
        <v>%</v>
      </c>
      <c r="D50" s="45">
        <f>D49/$F$49</f>
        <v>0</v>
      </c>
      <c r="E50" s="45">
        <f t="shared" ref="E50:O50" si="15">E49/$F$49</f>
        <v>0.25095541401273885</v>
      </c>
      <c r="F50" s="45">
        <f t="shared" si="15"/>
        <v>1</v>
      </c>
      <c r="G50" s="45">
        <f t="shared" si="15"/>
        <v>0.99617834394904459</v>
      </c>
      <c r="H50" s="45">
        <f t="shared" si="15"/>
        <v>0.98471337579617835</v>
      </c>
      <c r="I50" s="45">
        <f t="shared" si="15"/>
        <v>0.98089171974522293</v>
      </c>
      <c r="J50" s="45">
        <f t="shared" si="15"/>
        <v>0.95414012738853504</v>
      </c>
      <c r="K50" s="45">
        <f t="shared" si="15"/>
        <v>0.95414012738853504</v>
      </c>
      <c r="L50" s="45">
        <f t="shared" si="15"/>
        <v>0.9515923566878981</v>
      </c>
      <c r="M50" s="45">
        <f t="shared" si="15"/>
        <v>0.8942675159235669</v>
      </c>
      <c r="N50" s="45">
        <f t="shared" si="15"/>
        <v>0.84331210191082806</v>
      </c>
      <c r="O50" s="45">
        <f t="shared" si="15"/>
        <v>0</v>
      </c>
    </row>
    <row r="52" spans="2:16" x14ac:dyDescent="0.45">
      <c r="B52" s="24" t="s">
        <v>75</v>
      </c>
    </row>
    <row r="53" spans="2:16" x14ac:dyDescent="0.45">
      <c r="B53" s="23" t="str">
        <f>B49</f>
        <v>North Canterbury</v>
      </c>
      <c r="C53" s="35" t="str">
        <f>C49</f>
        <v>2022-23</v>
      </c>
      <c r="D53" s="35">
        <v>0</v>
      </c>
      <c r="E53" s="36">
        <v>233</v>
      </c>
      <c r="F53" s="36">
        <v>909</v>
      </c>
      <c r="G53" s="36">
        <v>909</v>
      </c>
      <c r="H53" s="36">
        <v>909</v>
      </c>
      <c r="I53" s="36">
        <v>909</v>
      </c>
      <c r="J53" s="36">
        <v>909</v>
      </c>
      <c r="K53" s="36">
        <v>909</v>
      </c>
      <c r="L53" s="36">
        <v>892</v>
      </c>
      <c r="M53" s="36">
        <v>825</v>
      </c>
      <c r="N53" s="36">
        <v>825</v>
      </c>
      <c r="O53" s="36">
        <v>755</v>
      </c>
    </row>
    <row r="54" spans="2:16" x14ac:dyDescent="0.45">
      <c r="B54" s="24" t="str">
        <f>B50</f>
        <v>Average distribution</v>
      </c>
      <c r="C54" s="38" t="str">
        <f>C50</f>
        <v>%</v>
      </c>
      <c r="D54" s="45">
        <f>AVERAGE(D53)/AVERAGE($F$53)</f>
        <v>0</v>
      </c>
      <c r="E54" s="45">
        <f t="shared" ref="E54:O54" si="16">AVERAGE(E53)/AVERAGE($F$53)</f>
        <v>0.2563256325632563</v>
      </c>
      <c r="F54" s="45">
        <f t="shared" si="16"/>
        <v>1</v>
      </c>
      <c r="G54" s="45">
        <f t="shared" si="16"/>
        <v>1</v>
      </c>
      <c r="H54" s="45">
        <f t="shared" si="16"/>
        <v>1</v>
      </c>
      <c r="I54" s="45">
        <f t="shared" si="16"/>
        <v>1</v>
      </c>
      <c r="J54" s="45">
        <f t="shared" si="16"/>
        <v>1</v>
      </c>
      <c r="K54" s="45">
        <f t="shared" si="16"/>
        <v>1</v>
      </c>
      <c r="L54" s="45">
        <f t="shared" si="16"/>
        <v>0.98129812981298126</v>
      </c>
      <c r="M54" s="45">
        <f t="shared" si="16"/>
        <v>0.90759075907590758</v>
      </c>
      <c r="N54" s="45">
        <f t="shared" si="16"/>
        <v>0.90759075907590758</v>
      </c>
      <c r="O54" s="45">
        <f t="shared" si="16"/>
        <v>0.83058305830583057</v>
      </c>
    </row>
    <row r="56" spans="2:16" x14ac:dyDescent="0.45">
      <c r="B56" s="24" t="s">
        <v>76</v>
      </c>
    </row>
    <row r="57" spans="2:16" x14ac:dyDescent="0.45">
      <c r="B57" s="23" t="str">
        <f>B53</f>
        <v>North Canterbury</v>
      </c>
      <c r="C57" s="35" t="str">
        <f>C53</f>
        <v>2022-23</v>
      </c>
      <c r="D57" s="35">
        <v>0</v>
      </c>
      <c r="E57" s="36">
        <v>222</v>
      </c>
      <c r="F57" s="36">
        <v>735</v>
      </c>
      <c r="G57" s="36">
        <v>730</v>
      </c>
      <c r="H57" s="36">
        <v>707</v>
      </c>
      <c r="I57" s="36">
        <v>710</v>
      </c>
      <c r="J57" s="36">
        <v>709</v>
      </c>
      <c r="K57" s="36">
        <v>708</v>
      </c>
      <c r="L57" s="36">
        <v>703</v>
      </c>
      <c r="M57" s="36">
        <v>718</v>
      </c>
      <c r="N57" s="36">
        <v>618</v>
      </c>
      <c r="O57" s="36">
        <v>0</v>
      </c>
    </row>
    <row r="58" spans="2:16" x14ac:dyDescent="0.45">
      <c r="B58" s="24" t="str">
        <f>B54</f>
        <v>Average distribution</v>
      </c>
      <c r="C58" s="38" t="str">
        <f>C54</f>
        <v>%</v>
      </c>
      <c r="D58" s="45">
        <f>AVERAGE(D57)/AVERAGE($F$57)</f>
        <v>0</v>
      </c>
      <c r="E58" s="45">
        <f t="shared" ref="E58:O58" si="17">AVERAGE(E57)/AVERAGE($F$57)</f>
        <v>0.30204081632653063</v>
      </c>
      <c r="F58" s="45">
        <f t="shared" si="17"/>
        <v>1</v>
      </c>
      <c r="G58" s="45">
        <f t="shared" si="17"/>
        <v>0.99319727891156462</v>
      </c>
      <c r="H58" s="45">
        <f t="shared" si="17"/>
        <v>0.96190476190476193</v>
      </c>
      <c r="I58" s="45">
        <f t="shared" si="17"/>
        <v>0.96598639455782309</v>
      </c>
      <c r="J58" s="45">
        <f t="shared" si="17"/>
        <v>0.96462585034013604</v>
      </c>
      <c r="K58" s="45">
        <f t="shared" si="17"/>
        <v>0.96326530612244898</v>
      </c>
      <c r="L58" s="45">
        <f t="shared" si="17"/>
        <v>0.9564625850340136</v>
      </c>
      <c r="M58" s="45">
        <f t="shared" si="17"/>
        <v>0.97687074829931975</v>
      </c>
      <c r="N58" s="45">
        <f t="shared" si="17"/>
        <v>0.84081632653061222</v>
      </c>
      <c r="O58" s="45">
        <f t="shared" si="17"/>
        <v>0</v>
      </c>
    </row>
    <row r="60" spans="2:16" x14ac:dyDescent="0.45">
      <c r="B60" s="24" t="s">
        <v>77</v>
      </c>
    </row>
    <row r="61" spans="2:16" x14ac:dyDescent="0.45">
      <c r="B61" s="23" t="str">
        <f>B26</f>
        <v>North Canterbury</v>
      </c>
      <c r="C61" s="35" t="str">
        <f>C26</f>
        <v>2022-23</v>
      </c>
      <c r="D61" s="23">
        <v>0</v>
      </c>
      <c r="E61" s="41">
        <v>34</v>
      </c>
      <c r="F61" s="41">
        <v>450</v>
      </c>
      <c r="G61" s="41">
        <v>470</v>
      </c>
      <c r="H61" s="41">
        <v>540</v>
      </c>
      <c r="I61" s="41">
        <v>540</v>
      </c>
      <c r="J61" s="41">
        <v>540</v>
      </c>
      <c r="K61" s="41">
        <v>540</v>
      </c>
      <c r="L61" s="41">
        <v>540</v>
      </c>
      <c r="M61" s="41">
        <v>532</v>
      </c>
      <c r="N61" s="41">
        <v>500</v>
      </c>
      <c r="O61" s="41">
        <v>330</v>
      </c>
      <c r="P61" s="35"/>
    </row>
    <row r="62" spans="2:16" x14ac:dyDescent="0.45">
      <c r="B62" s="23" t="str">
        <f t="shared" ref="B62:C64" si="18">B27</f>
        <v>North Canterbury</v>
      </c>
      <c r="C62" s="35" t="str">
        <f t="shared" si="18"/>
        <v>2021-22</v>
      </c>
      <c r="D62" s="23">
        <v>0</v>
      </c>
      <c r="E62" s="41">
        <v>250</v>
      </c>
      <c r="F62" s="41">
        <v>449</v>
      </c>
      <c r="G62" s="41">
        <v>650</v>
      </c>
      <c r="H62" s="41">
        <v>701</v>
      </c>
      <c r="I62" s="41">
        <v>692</v>
      </c>
      <c r="J62" s="41">
        <v>692</v>
      </c>
      <c r="K62" s="41">
        <v>687</v>
      </c>
      <c r="L62" s="41">
        <v>687</v>
      </c>
      <c r="M62" s="41">
        <v>681</v>
      </c>
      <c r="N62" s="41">
        <v>631</v>
      </c>
      <c r="O62" s="41">
        <v>0</v>
      </c>
      <c r="P62" s="35"/>
    </row>
    <row r="63" spans="2:16" x14ac:dyDescent="0.45">
      <c r="B63" s="23" t="str">
        <f t="shared" si="18"/>
        <v>North Canterbury</v>
      </c>
      <c r="C63" s="35" t="str">
        <f t="shared" si="18"/>
        <v>2020-21</v>
      </c>
      <c r="D63" s="23">
        <v>7</v>
      </c>
      <c r="E63" s="41">
        <v>576</v>
      </c>
      <c r="F63" s="41">
        <v>653</v>
      </c>
      <c r="G63" s="41">
        <v>679</v>
      </c>
      <c r="H63" s="41">
        <v>674</v>
      </c>
      <c r="I63" s="41">
        <v>671</v>
      </c>
      <c r="J63" s="41">
        <v>671</v>
      </c>
      <c r="K63" s="41">
        <v>671</v>
      </c>
      <c r="L63" s="41">
        <v>671</v>
      </c>
      <c r="M63" s="41">
        <v>671</v>
      </c>
      <c r="N63" s="41">
        <v>671</v>
      </c>
      <c r="O63" s="41">
        <v>302</v>
      </c>
      <c r="P63" s="36"/>
    </row>
    <row r="64" spans="2:16" x14ac:dyDescent="0.45">
      <c r="B64" s="23" t="str">
        <f t="shared" si="18"/>
        <v>North Canterbury</v>
      </c>
      <c r="C64" s="35" t="str">
        <f t="shared" si="18"/>
        <v>2019-20</v>
      </c>
      <c r="D64" s="23">
        <v>0</v>
      </c>
      <c r="E64" s="41">
        <v>580</v>
      </c>
      <c r="F64" s="41">
        <v>649</v>
      </c>
      <c r="G64" s="41">
        <v>684</v>
      </c>
      <c r="H64" s="41">
        <v>681</v>
      </c>
      <c r="I64" s="41">
        <v>681</v>
      </c>
      <c r="J64" s="41">
        <v>681</v>
      </c>
      <c r="K64" s="41">
        <v>681</v>
      </c>
      <c r="L64" s="41">
        <v>674</v>
      </c>
      <c r="M64" s="41">
        <v>620</v>
      </c>
      <c r="N64" s="41">
        <v>620</v>
      </c>
      <c r="O64" s="41">
        <v>569</v>
      </c>
      <c r="P64" s="35"/>
    </row>
    <row r="65" spans="2:16" x14ac:dyDescent="0.45">
      <c r="B65" s="24" t="str">
        <f>B58</f>
        <v>Average distribution</v>
      </c>
      <c r="C65" s="38" t="str">
        <f>C58</f>
        <v>%</v>
      </c>
      <c r="D65" s="45">
        <f>AVERAGE(D61:D64)/AVERAGE($H$61,$H$62,$G$63:$G$64)</f>
        <v>2.6881720430107529E-3</v>
      </c>
      <c r="E65" s="45">
        <f t="shared" ref="E65:O65" si="19">AVERAGE(E61:E64)/AVERAGE($H$61,$H$62,$G$63:$G$64)</f>
        <v>0.55299539170506917</v>
      </c>
      <c r="F65" s="45">
        <f t="shared" si="19"/>
        <v>0.84523809523809523</v>
      </c>
      <c r="G65" s="45">
        <f t="shared" si="19"/>
        <v>0.9535330261136713</v>
      </c>
      <c r="H65" s="45">
        <f t="shared" si="19"/>
        <v>0.99692780337941633</v>
      </c>
      <c r="I65" s="45">
        <f t="shared" si="19"/>
        <v>0.99231950844854067</v>
      </c>
      <c r="J65" s="45">
        <f t="shared" si="19"/>
        <v>0.99231950844854067</v>
      </c>
      <c r="K65" s="45">
        <f t="shared" si="19"/>
        <v>0.99039938556067586</v>
      </c>
      <c r="L65" s="45">
        <f t="shared" si="19"/>
        <v>0.98771121351766511</v>
      </c>
      <c r="M65" s="45">
        <f t="shared" si="19"/>
        <v>0.96159754224270355</v>
      </c>
      <c r="N65" s="45">
        <f t="shared" si="19"/>
        <v>0.93010752688172038</v>
      </c>
      <c r="O65" s="45">
        <f t="shared" si="19"/>
        <v>0.46121351766513058</v>
      </c>
    </row>
    <row r="67" spans="2:16" s="24" customFormat="1" x14ac:dyDescent="0.45">
      <c r="B67" s="50" t="s">
        <v>49</v>
      </c>
      <c r="C67" s="51"/>
      <c r="D67" s="52">
        <v>0</v>
      </c>
      <c r="E67" s="52">
        <f t="shared" ref="E67:O67" si="20">AVERAGE(E65,E58,E54,E50,E46,E42,E37,E30,E23,E16)</f>
        <v>0.38884638914824848</v>
      </c>
      <c r="F67" s="52">
        <f t="shared" si="20"/>
        <v>0.97846687433301605</v>
      </c>
      <c r="G67" s="52">
        <v>1</v>
      </c>
      <c r="H67" s="52">
        <f t="shared" si="20"/>
        <v>0.98764173187176707</v>
      </c>
      <c r="I67" s="52">
        <f t="shared" si="20"/>
        <v>0.98186049908980166</v>
      </c>
      <c r="J67" s="52">
        <f t="shared" si="20"/>
        <v>0.97264118202814309</v>
      </c>
      <c r="K67" s="52">
        <f t="shared" si="20"/>
        <v>0.96290169150194527</v>
      </c>
      <c r="L67" s="52">
        <f t="shared" si="20"/>
        <v>0.94765164054115458</v>
      </c>
      <c r="M67" s="52">
        <f t="shared" si="20"/>
        <v>0.91553378507050565</v>
      </c>
      <c r="N67" s="52">
        <f t="shared" si="20"/>
        <v>0.85359728430061921</v>
      </c>
      <c r="O67" s="52">
        <f t="shared" si="20"/>
        <v>0.28358720396491527</v>
      </c>
    </row>
    <row r="68" spans="2:16" s="24" customFormat="1" x14ac:dyDescent="0.45">
      <c r="B68" s="50" t="s">
        <v>134</v>
      </c>
      <c r="C68" s="51"/>
      <c r="D68" s="59">
        <f>D67*$D$8</f>
        <v>0</v>
      </c>
      <c r="E68" s="59">
        <f t="shared" ref="E68:O68" si="21">E67*$D$8</f>
        <v>315.45163319651658</v>
      </c>
      <c r="F68" s="59">
        <f t="shared" si="21"/>
        <v>793.78125180265931</v>
      </c>
      <c r="G68" s="59">
        <f t="shared" si="21"/>
        <v>811.25</v>
      </c>
      <c r="H68" s="59">
        <f t="shared" si="21"/>
        <v>801.22435498097104</v>
      </c>
      <c r="I68" s="59">
        <f t="shared" si="21"/>
        <v>796.53432988660165</v>
      </c>
      <c r="J68" s="59">
        <f t="shared" si="21"/>
        <v>789.05515892033111</v>
      </c>
      <c r="K68" s="59">
        <f t="shared" si="21"/>
        <v>781.15399723095311</v>
      </c>
      <c r="L68" s="59">
        <f t="shared" si="21"/>
        <v>768.78239338901165</v>
      </c>
      <c r="M68" s="59">
        <f t="shared" si="21"/>
        <v>742.72678313844767</v>
      </c>
      <c r="N68" s="59">
        <f t="shared" si="21"/>
        <v>692.48079688887731</v>
      </c>
      <c r="O68" s="59">
        <f t="shared" si="21"/>
        <v>230.06011921653752</v>
      </c>
      <c r="P68" s="60">
        <f>AVERAGE(F68:N68)</f>
        <v>775.22100735976142</v>
      </c>
    </row>
    <row r="70" spans="2:16" x14ac:dyDescent="0.45">
      <c r="E70" s="23" t="s">
        <v>78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7D0-75D6-465B-B5BB-3950B906907F}">
  <dimension ref="B2:J9"/>
  <sheetViews>
    <sheetView workbookViewId="0">
      <selection activeCell="J12" sqref="J12"/>
    </sheetView>
  </sheetViews>
  <sheetFormatPr defaultRowHeight="14.25" x14ac:dyDescent="0.45"/>
  <cols>
    <col min="3" max="6" width="12.53125" customWidth="1"/>
    <col min="7" max="7" width="3.06640625" customWidth="1"/>
  </cols>
  <sheetData>
    <row r="2" spans="2:10" x14ac:dyDescent="0.45">
      <c r="C2" t="s">
        <v>82</v>
      </c>
      <c r="D2" t="s">
        <v>83</v>
      </c>
      <c r="E2" t="s">
        <v>84</v>
      </c>
      <c r="F2" t="s">
        <v>85</v>
      </c>
      <c r="H2" t="s">
        <v>49</v>
      </c>
    </row>
    <row r="3" spans="2:10" x14ac:dyDescent="0.45">
      <c r="B3" t="s">
        <v>81</v>
      </c>
      <c r="C3" s="74">
        <v>8.1999999999999993</v>
      </c>
      <c r="D3" s="55">
        <v>7.25</v>
      </c>
      <c r="E3" s="74">
        <v>8.3000000000000007</v>
      </c>
      <c r="F3" s="55">
        <v>7.9</v>
      </c>
      <c r="H3" s="56">
        <f>AVERAGE(C3:F3)</f>
        <v>7.9124999999999996</v>
      </c>
      <c r="J3" s="73" t="s">
        <v>86</v>
      </c>
    </row>
    <row r="4" spans="2:10" x14ac:dyDescent="0.45">
      <c r="B4" t="s">
        <v>5</v>
      </c>
      <c r="C4" s="55">
        <v>8.7200000000000006</v>
      </c>
      <c r="D4" s="55">
        <v>8.1999999999999993</v>
      </c>
      <c r="E4" s="55">
        <v>8.33</v>
      </c>
      <c r="F4" s="55">
        <v>8.32</v>
      </c>
      <c r="H4" s="56">
        <f t="shared" ref="H4:H7" si="0">AVERAGE(C4:F4)</f>
        <v>8.3925000000000001</v>
      </c>
    </row>
    <row r="5" spans="2:10" x14ac:dyDescent="0.45">
      <c r="B5" t="s">
        <v>45</v>
      </c>
      <c r="C5" s="55">
        <v>9.5</v>
      </c>
      <c r="D5" s="55">
        <v>9.3000000000000007</v>
      </c>
      <c r="E5" s="55">
        <v>9.4499999999999993</v>
      </c>
      <c r="F5" s="55">
        <v>9.4</v>
      </c>
      <c r="H5" s="56">
        <f t="shared" si="0"/>
        <v>9.4124999999999996</v>
      </c>
    </row>
    <row r="6" spans="2:10" x14ac:dyDescent="0.45">
      <c r="B6" t="s">
        <v>46</v>
      </c>
      <c r="C6" s="55">
        <v>7.74</v>
      </c>
      <c r="D6" s="55">
        <v>7.55</v>
      </c>
      <c r="E6" s="55">
        <v>7.61</v>
      </c>
      <c r="F6" s="55">
        <v>7.5</v>
      </c>
      <c r="H6" s="56">
        <f t="shared" si="0"/>
        <v>7.6</v>
      </c>
    </row>
    <row r="7" spans="2:10" x14ac:dyDescent="0.45">
      <c r="B7" t="s">
        <v>47</v>
      </c>
      <c r="C7" s="55">
        <v>7.19</v>
      </c>
      <c r="D7" s="55">
        <v>7.3</v>
      </c>
      <c r="E7" s="55">
        <v>7.27</v>
      </c>
      <c r="F7" s="55">
        <v>6.75</v>
      </c>
      <c r="H7" s="56">
        <f t="shared" si="0"/>
        <v>7.1274999999999995</v>
      </c>
    </row>
    <row r="8" spans="2:10" x14ac:dyDescent="0.45">
      <c r="H8" s="56"/>
    </row>
    <row r="9" spans="2:10" ht="15.75" x14ac:dyDescent="0.5">
      <c r="B9" t="s">
        <v>49</v>
      </c>
      <c r="C9" s="56">
        <f>AVERAGE(C3:C7)</f>
        <v>8.27</v>
      </c>
      <c r="D9" s="56">
        <f t="shared" ref="D9:F9" si="1">AVERAGE(D3:D7)</f>
        <v>7.919999999999999</v>
      </c>
      <c r="E9" s="56">
        <f t="shared" si="1"/>
        <v>8.1920000000000019</v>
      </c>
      <c r="F9" s="56">
        <f t="shared" si="1"/>
        <v>7.9739999999999993</v>
      </c>
      <c r="H9" s="72">
        <f>AVERAGE(C9:F9)</f>
        <v>8.0889999999999986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7411-1C32-44DE-AE3E-611D880ECE41}">
  <dimension ref="B2:H20"/>
  <sheetViews>
    <sheetView workbookViewId="0">
      <selection activeCell="F23" sqref="F23"/>
    </sheetView>
  </sheetViews>
  <sheetFormatPr defaultRowHeight="14.25" x14ac:dyDescent="0.45"/>
  <cols>
    <col min="2" max="2" width="39.1328125" customWidth="1"/>
    <col min="4" max="4" width="13.06640625" customWidth="1"/>
  </cols>
  <sheetData>
    <row r="2" spans="2:8" x14ac:dyDescent="0.45">
      <c r="C2" s="64" t="s">
        <v>88</v>
      </c>
      <c r="D2" s="64" t="s">
        <v>90</v>
      </c>
    </row>
    <row r="3" spans="2:8" x14ac:dyDescent="0.45">
      <c r="B3" t="s">
        <v>140</v>
      </c>
      <c r="C3" s="57">
        <v>130</v>
      </c>
      <c r="D3" s="58">
        <f>((1000/$C$17)*(C3))</f>
        <v>371.42857142857144</v>
      </c>
      <c r="E3" t="s">
        <v>114</v>
      </c>
    </row>
    <row r="4" spans="2:8" x14ac:dyDescent="0.45">
      <c r="D4" s="58"/>
    </row>
    <row r="5" spans="2:8" x14ac:dyDescent="0.45">
      <c r="B5" t="s">
        <v>87</v>
      </c>
      <c r="C5" s="57">
        <v>12</v>
      </c>
      <c r="D5" s="58">
        <f>(1000/$C$17)*(C5)</f>
        <v>34.285714285714285</v>
      </c>
      <c r="E5" t="s">
        <v>115</v>
      </c>
    </row>
    <row r="6" spans="2:8" x14ac:dyDescent="0.45">
      <c r="D6" s="58"/>
    </row>
    <row r="7" spans="2:8" x14ac:dyDescent="0.45">
      <c r="B7" t="s">
        <v>141</v>
      </c>
      <c r="C7" s="57">
        <v>56</v>
      </c>
      <c r="D7" s="58">
        <f t="shared" ref="D7:D9" si="0">((1000/$C$17)*(C7))</f>
        <v>160</v>
      </c>
      <c r="E7" t="s">
        <v>116</v>
      </c>
    </row>
    <row r="8" spans="2:8" x14ac:dyDescent="0.45">
      <c r="D8" s="58"/>
    </row>
    <row r="9" spans="2:8" x14ac:dyDescent="0.45">
      <c r="B9" t="s">
        <v>89</v>
      </c>
      <c r="C9" s="57">
        <f>C19/C18</f>
        <v>37.5</v>
      </c>
      <c r="D9" s="58">
        <f t="shared" si="0"/>
        <v>107.14285714285714</v>
      </c>
      <c r="E9" t="s">
        <v>136</v>
      </c>
    </row>
    <row r="11" spans="2:8" x14ac:dyDescent="0.45">
      <c r="B11" s="40" t="s">
        <v>132</v>
      </c>
      <c r="C11" s="75">
        <f>D3+D5</f>
        <v>405.71428571428572</v>
      </c>
    </row>
    <row r="12" spans="2:8" x14ac:dyDescent="0.45">
      <c r="B12" s="40" t="s">
        <v>109</v>
      </c>
      <c r="C12" s="75">
        <f>D7</f>
        <v>160</v>
      </c>
    </row>
    <row r="13" spans="2:8" x14ac:dyDescent="0.45">
      <c r="B13" s="40" t="s">
        <v>91</v>
      </c>
      <c r="C13" s="75">
        <f>D9</f>
        <v>107.14285714285714</v>
      </c>
    </row>
    <row r="15" spans="2:8" x14ac:dyDescent="0.45">
      <c r="B15" s="40" t="s">
        <v>143</v>
      </c>
      <c r="C15" s="82">
        <v>600</v>
      </c>
    </row>
    <row r="16" spans="2:8" x14ac:dyDescent="0.45">
      <c r="B16" s="40" t="s">
        <v>142</v>
      </c>
      <c r="C16" s="83">
        <f>1000/C15</f>
        <v>1.6666666666666667</v>
      </c>
      <c r="H16" s="56"/>
    </row>
    <row r="17" spans="2:3" x14ac:dyDescent="0.45">
      <c r="B17" s="40" t="s">
        <v>146</v>
      </c>
      <c r="C17" s="82">
        <v>350</v>
      </c>
    </row>
    <row r="18" spans="2:3" x14ac:dyDescent="0.45">
      <c r="B18" s="40" t="s">
        <v>147</v>
      </c>
      <c r="C18" s="82">
        <v>4</v>
      </c>
    </row>
    <row r="19" spans="2:3" x14ac:dyDescent="0.45">
      <c r="B19" s="40" t="s">
        <v>144</v>
      </c>
      <c r="C19" s="84">
        <v>150</v>
      </c>
    </row>
    <row r="20" spans="2:3" x14ac:dyDescent="0.45">
      <c r="B20" s="40" t="s">
        <v>145</v>
      </c>
      <c r="C20" s="8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355A-0614-4B57-8D9D-4FB7B8C645D8}">
  <dimension ref="B2:M28"/>
  <sheetViews>
    <sheetView workbookViewId="0">
      <selection activeCell="C16" sqref="C16"/>
    </sheetView>
  </sheetViews>
  <sheetFormatPr defaultRowHeight="14.25" x14ac:dyDescent="0.45"/>
  <cols>
    <col min="1" max="1" width="9.06640625" style="23"/>
    <col min="2" max="2" width="37.19921875" style="23" customWidth="1"/>
    <col min="3" max="3" width="15.73046875" style="23" customWidth="1"/>
    <col min="4" max="6" width="11.86328125" style="23" customWidth="1"/>
    <col min="7" max="7" width="13.33203125" style="23" customWidth="1"/>
    <col min="8" max="9" width="11.86328125" style="23" customWidth="1"/>
    <col min="10" max="10" width="14.1328125" style="23" customWidth="1"/>
    <col min="11" max="16" width="11.86328125" style="23" customWidth="1"/>
    <col min="17" max="16384" width="9.06640625" style="23"/>
  </cols>
  <sheetData>
    <row r="2" spans="2:10" s="24" customFormat="1" x14ac:dyDescent="0.45">
      <c r="B2" s="24" t="s">
        <v>117</v>
      </c>
    </row>
    <row r="3" spans="2:10" s="24" customFormat="1" x14ac:dyDescent="0.45">
      <c r="B3" s="24" t="s">
        <v>170</v>
      </c>
      <c r="C3" s="24" t="s">
        <v>118</v>
      </c>
      <c r="D3" s="24" t="s">
        <v>119</v>
      </c>
      <c r="E3" s="24" t="s">
        <v>120</v>
      </c>
      <c r="F3" s="24" t="s">
        <v>128</v>
      </c>
      <c r="G3" s="24" t="s">
        <v>130</v>
      </c>
      <c r="H3" s="24" t="s">
        <v>121</v>
      </c>
      <c r="I3" s="24" t="s">
        <v>129</v>
      </c>
      <c r="J3" s="24" t="s">
        <v>131</v>
      </c>
    </row>
    <row r="4" spans="2:10" x14ac:dyDescent="0.45">
      <c r="B4" s="65">
        <f>'Herd Distribution'!D8</f>
        <v>811.25</v>
      </c>
      <c r="C4" s="26">
        <f>'FCE calculation'!F11</f>
        <v>3.4796338399361142</v>
      </c>
      <c r="D4" s="65">
        <f>B4/C4</f>
        <v>233.14234695880947</v>
      </c>
      <c r="E4" s="66">
        <f>'Dairybase (North Cant) stats'!F7</f>
        <v>4772.8344713904798</v>
      </c>
      <c r="F4" s="66">
        <f>E4/C4</f>
        <v>1371.6484811166536</v>
      </c>
      <c r="G4" s="114">
        <f>D4*E4</f>
        <v>1112749.8303058853</v>
      </c>
      <c r="H4" s="66">
        <f>C6/C7</f>
        <v>22022.019609142899</v>
      </c>
      <c r="I4" s="66">
        <f>C6/C8</f>
        <v>7817.3164340339054</v>
      </c>
      <c r="J4" s="114">
        <f>D4*H4</f>
        <v>5134265.336448499</v>
      </c>
    </row>
    <row r="6" spans="2:10" x14ac:dyDescent="0.45">
      <c r="B6" s="23" t="s">
        <v>122</v>
      </c>
      <c r="C6" s="66">
        <v>36544000000</v>
      </c>
      <c r="D6" s="23" t="s">
        <v>123</v>
      </c>
      <c r="F6" s="68" t="s">
        <v>126</v>
      </c>
    </row>
    <row r="7" spans="2:10" x14ac:dyDescent="0.45">
      <c r="B7" s="23" t="s">
        <v>124</v>
      </c>
      <c r="C7" s="67">
        <v>1659430</v>
      </c>
      <c r="D7" s="23" t="s">
        <v>127</v>
      </c>
    </row>
    <row r="8" spans="2:10" x14ac:dyDescent="0.45">
      <c r="B8" s="23" t="s">
        <v>125</v>
      </c>
      <c r="C8" s="67">
        <v>4674750</v>
      </c>
      <c r="D8" s="23" t="s">
        <v>127</v>
      </c>
    </row>
    <row r="9" spans="2:10" x14ac:dyDescent="0.45">
      <c r="G9" s="98"/>
    </row>
    <row r="12" spans="2:10" x14ac:dyDescent="0.45">
      <c r="B12" s="23" t="s">
        <v>159</v>
      </c>
      <c r="C12" s="111">
        <v>49000</v>
      </c>
      <c r="D12" s="23" t="s">
        <v>163</v>
      </c>
    </row>
    <row r="13" spans="2:10" x14ac:dyDescent="0.45">
      <c r="B13" s="23" t="s">
        <v>184</v>
      </c>
      <c r="C13" s="111">
        <v>2000</v>
      </c>
      <c r="D13" s="23" t="s">
        <v>189</v>
      </c>
    </row>
    <row r="14" spans="2:10" x14ac:dyDescent="0.45">
      <c r="B14" s="23" t="s">
        <v>185</v>
      </c>
      <c r="C14" s="116">
        <f>'Dairybase (North Cant) stats'!AM7</f>
        <v>0.50508115892184535</v>
      </c>
      <c r="D14" s="23" t="s">
        <v>169</v>
      </c>
    </row>
    <row r="15" spans="2:10" x14ac:dyDescent="0.45">
      <c r="B15" s="23" t="s">
        <v>186</v>
      </c>
      <c r="C15" s="116">
        <v>0.4</v>
      </c>
      <c r="D15" s="23" t="s">
        <v>188</v>
      </c>
    </row>
    <row r="16" spans="2:10" x14ac:dyDescent="0.45">
      <c r="B16" s="23" t="s">
        <v>187</v>
      </c>
      <c r="C16" s="116">
        <v>0.65</v>
      </c>
      <c r="D16" s="23" t="s">
        <v>188</v>
      </c>
    </row>
    <row r="17" spans="2:13" x14ac:dyDescent="0.45">
      <c r="B17" s="23" t="s">
        <v>161</v>
      </c>
      <c r="C17" s="117">
        <v>8.2600000000000007E-2</v>
      </c>
      <c r="D17" s="23" t="s">
        <v>162</v>
      </c>
    </row>
    <row r="18" spans="2:13" x14ac:dyDescent="0.45">
      <c r="B18" s="23" t="s">
        <v>170</v>
      </c>
      <c r="C18" s="112">
        <v>811</v>
      </c>
    </row>
    <row r="19" spans="2:13" x14ac:dyDescent="0.45">
      <c r="B19" s="23" t="s">
        <v>119</v>
      </c>
      <c r="C19" s="112">
        <v>233</v>
      </c>
    </row>
    <row r="20" spans="2:13" x14ac:dyDescent="0.45">
      <c r="B20" s="23" t="s">
        <v>118</v>
      </c>
      <c r="C20" s="113">
        <f>C18/C19</f>
        <v>3.4806866952789699</v>
      </c>
    </row>
    <row r="21" spans="2:13" x14ac:dyDescent="0.45">
      <c r="C21" s="29"/>
    </row>
    <row r="23" spans="2:13" x14ac:dyDescent="0.45">
      <c r="B23" s="24"/>
      <c r="C23" s="24"/>
      <c r="D23" s="24"/>
      <c r="E23" s="110" t="s">
        <v>160</v>
      </c>
      <c r="F23" s="110"/>
      <c r="G23" s="110"/>
      <c r="H23" s="110" t="s">
        <v>165</v>
      </c>
      <c r="I23" s="110"/>
      <c r="J23" s="110"/>
      <c r="K23" s="110" t="s">
        <v>166</v>
      </c>
      <c r="L23" s="110"/>
      <c r="M23" s="110"/>
    </row>
    <row r="24" spans="2:13" s="105" customFormat="1" ht="28.5" x14ac:dyDescent="0.45">
      <c r="B24" s="18" t="s">
        <v>120</v>
      </c>
      <c r="C24" s="18" t="s">
        <v>128</v>
      </c>
      <c r="D24" s="18" t="s">
        <v>130</v>
      </c>
      <c r="E24" s="18" t="s">
        <v>121</v>
      </c>
      <c r="F24" s="18" t="s">
        <v>129</v>
      </c>
      <c r="G24" s="18" t="s">
        <v>164</v>
      </c>
      <c r="H24" s="18" t="s">
        <v>121</v>
      </c>
      <c r="I24" s="18" t="s">
        <v>129</v>
      </c>
      <c r="J24" s="18" t="s">
        <v>164</v>
      </c>
      <c r="K24" s="18" t="s">
        <v>121</v>
      </c>
      <c r="L24" s="18" t="s">
        <v>129</v>
      </c>
      <c r="M24" s="18" t="s">
        <v>164</v>
      </c>
    </row>
    <row r="25" spans="2:13" x14ac:dyDescent="0.45">
      <c r="B25" s="66">
        <f>'Dairybase (North Cant) stats'!F7</f>
        <v>4772.8344713904798</v>
      </c>
      <c r="C25" s="66">
        <f>B25/C20</f>
        <v>1371.2335780936889</v>
      </c>
      <c r="D25" s="114">
        <f>C19*B25</f>
        <v>1112070.4318339818</v>
      </c>
      <c r="E25" s="115">
        <f>($C$12+($C$20*$C$13))*C14</f>
        <v>28265.035326961122</v>
      </c>
      <c r="F25" s="115">
        <f>E25/C20</f>
        <v>8120.5341938125048</v>
      </c>
      <c r="G25" s="114">
        <f>C19*E25</f>
        <v>6585753.2311819419</v>
      </c>
      <c r="H25" s="115">
        <f>($C$12+($C$20*$C$13))*C15</f>
        <v>22384.549356223179</v>
      </c>
      <c r="I25" s="115">
        <f>H25/C20</f>
        <v>6431.0727496917398</v>
      </c>
      <c r="J25" s="114">
        <f>C19*H25</f>
        <v>5215600.0000000009</v>
      </c>
      <c r="K25" s="115">
        <f>($C$12+($C$20*$C$13))*C16</f>
        <v>36374.892703862664</v>
      </c>
      <c r="L25" s="115">
        <f>K25/C20</f>
        <v>10450.493218249076</v>
      </c>
      <c r="M25" s="114">
        <f>C19*K25</f>
        <v>8475350</v>
      </c>
    </row>
    <row r="27" spans="2:13" s="24" customFormat="1" x14ac:dyDescent="0.45">
      <c r="B27" s="24" t="s">
        <v>167</v>
      </c>
      <c r="G27" s="99">
        <f>($C$17/12)*G25</f>
        <v>45331.934741302372</v>
      </c>
      <c r="H27" s="99"/>
      <c r="I27" s="99"/>
      <c r="J27" s="99">
        <f>($C$17/12)*J25</f>
        <v>35900.713333333348</v>
      </c>
      <c r="K27" s="99"/>
      <c r="L27" s="99"/>
      <c r="M27" s="99">
        <f>($C$17/12)*M25</f>
        <v>58338.659166666672</v>
      </c>
    </row>
    <row r="28" spans="2:13" s="24" customFormat="1" x14ac:dyDescent="0.45">
      <c r="B28" s="24" t="s">
        <v>168</v>
      </c>
      <c r="G28" s="100">
        <f>$B$25*$C$19</f>
        <v>1112070.4318339818</v>
      </c>
      <c r="H28" s="100"/>
      <c r="I28" s="100"/>
      <c r="J28" s="100">
        <f>$B$25*$C$19</f>
        <v>1112070.4318339818</v>
      </c>
      <c r="K28" s="100"/>
      <c r="L28" s="100"/>
      <c r="M28" s="100">
        <f>$B$25*$C$19</f>
        <v>1112070.4318339818</v>
      </c>
    </row>
  </sheetData>
  <mergeCells count="3">
    <mergeCell ref="E23:G23"/>
    <mergeCell ref="H23:J23"/>
    <mergeCell ref="K23:M23"/>
  </mergeCells>
  <hyperlinks>
    <hyperlink ref="F6" r:id="rId1" xr:uid="{1E81C4A2-D642-4239-85FE-DBFAB68FD6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9EAB-7EFA-4D8F-B9AD-5555A52047DA}">
  <dimension ref="B2:O18"/>
  <sheetViews>
    <sheetView workbookViewId="0">
      <selection activeCell="K6" sqref="K6"/>
    </sheetView>
  </sheetViews>
  <sheetFormatPr defaultColWidth="16.9296875" defaultRowHeight="14.25" x14ac:dyDescent="0.45"/>
  <cols>
    <col min="1" max="1" width="3.33203125" style="6" customWidth="1"/>
    <col min="2" max="2" width="16.9296875" style="6"/>
    <col min="3" max="14" width="14.9296875" style="6" customWidth="1"/>
    <col min="15" max="15" width="14.9296875" style="15" customWidth="1"/>
    <col min="16" max="16384" width="16.9296875" style="6"/>
  </cols>
  <sheetData>
    <row r="2" spans="2:15" x14ac:dyDescent="0.45">
      <c r="B2" s="15" t="s">
        <v>56</v>
      </c>
    </row>
    <row r="3" spans="2:15" s="18" customFormat="1" ht="28.5" x14ac:dyDescent="0.45">
      <c r="B3" s="18" t="s">
        <v>57</v>
      </c>
      <c r="C3" s="18" t="s">
        <v>0</v>
      </c>
      <c r="D3" s="18" t="s">
        <v>1</v>
      </c>
      <c r="E3" s="18" t="s">
        <v>55</v>
      </c>
      <c r="F3" s="18" t="s">
        <v>54</v>
      </c>
      <c r="G3" s="18" t="s">
        <v>48</v>
      </c>
      <c r="H3" s="18" t="s">
        <v>2</v>
      </c>
      <c r="I3" s="18" t="s">
        <v>3</v>
      </c>
      <c r="J3" s="18" t="s">
        <v>4</v>
      </c>
      <c r="K3" s="18" t="s">
        <v>52</v>
      </c>
      <c r="L3" s="18" t="s">
        <v>53</v>
      </c>
      <c r="M3" s="18" t="s">
        <v>51</v>
      </c>
      <c r="N3" s="18" t="s">
        <v>51</v>
      </c>
      <c r="O3" s="18" t="s">
        <v>50</v>
      </c>
    </row>
    <row r="4" spans="2:15" x14ac:dyDescent="0.45">
      <c r="D4" s="13"/>
      <c r="E4" s="13"/>
      <c r="F4" s="14"/>
      <c r="G4" s="13"/>
      <c r="H4" s="13"/>
      <c r="I4" s="13"/>
      <c r="J4" s="13"/>
      <c r="L4" s="13"/>
      <c r="M4" s="13"/>
      <c r="N4" s="13"/>
      <c r="O4" s="19"/>
    </row>
    <row r="5" spans="2:15" x14ac:dyDescent="0.45">
      <c r="B5" s="54" t="s">
        <v>135</v>
      </c>
      <c r="G5" s="13"/>
      <c r="H5" s="13"/>
      <c r="I5" s="13"/>
      <c r="J5" s="13"/>
      <c r="L5" s="13"/>
      <c r="M5" s="13"/>
      <c r="N5" s="13"/>
      <c r="O5" s="19"/>
    </row>
    <row r="6" spans="2:15" x14ac:dyDescent="0.45">
      <c r="B6" s="6" t="s">
        <v>7</v>
      </c>
      <c r="C6" s="6" t="str">
        <f>C13</f>
        <v>2022-23</v>
      </c>
      <c r="D6" s="13">
        <v>697292</v>
      </c>
      <c r="E6" s="13">
        <v>200849</v>
      </c>
      <c r="F6" s="14">
        <f>D6/E6</f>
        <v>3.4717225378269245</v>
      </c>
      <c r="G6" s="13">
        <v>301907445</v>
      </c>
      <c r="H6" s="13">
        <v>434</v>
      </c>
      <c r="I6" s="13">
        <v>1503</v>
      </c>
      <c r="J6" s="13">
        <v>482</v>
      </c>
      <c r="K6" s="13">
        <f>'Dairybase (North Cant) stats'!AR3*1000</f>
        <v>4574.9700990585852</v>
      </c>
      <c r="L6" s="13">
        <f>('Dairybase (North Cant) stats'!AF3+'Dairybase (North Cant) stats'!AG3+'Dairybase (North Cant) stats'!AH3+'Dairybase (North Cant) stats'!AI3)*1000</f>
        <v>18098.190952711178</v>
      </c>
      <c r="M6" s="13">
        <f>D6*K6</f>
        <v>3190090050.3127589</v>
      </c>
      <c r="N6" s="13">
        <f>E6*L6</f>
        <v>3635003554.6610875</v>
      </c>
      <c r="O6" s="19">
        <f>M6/G6</f>
        <v>10.566450424277411</v>
      </c>
    </row>
    <row r="7" spans="2:15" x14ac:dyDescent="0.45">
      <c r="B7" s="6" t="s">
        <v>7</v>
      </c>
      <c r="C7" s="6" t="str">
        <f>C14</f>
        <v>2021-22</v>
      </c>
      <c r="D7" s="13">
        <v>720520</v>
      </c>
      <c r="E7" s="13">
        <v>206707</v>
      </c>
      <c r="F7" s="14">
        <f t="shared" ref="F7:F9" si="0">D7/E7</f>
        <v>3.4857068217331779</v>
      </c>
      <c r="G7" s="13">
        <v>302680670</v>
      </c>
      <c r="H7" s="13">
        <v>420</v>
      </c>
      <c r="I7" s="13">
        <v>1464</v>
      </c>
      <c r="J7" s="13">
        <v>486</v>
      </c>
      <c r="K7" s="13">
        <f>'Dairybase (North Cant) stats'!AR4*1000</f>
        <v>4671.7170250310865</v>
      </c>
      <c r="L7" s="13">
        <f>('Dairybase (North Cant) stats'!AF4+'Dairybase (North Cant) stats'!AG4+'Dairybase (North Cant) stats'!AH4+'Dairybase (North Cant) stats'!AI4)*1000</f>
        <v>18543.486153036534</v>
      </c>
      <c r="M7" s="13">
        <f>D7*K7</f>
        <v>3366065550.8753986</v>
      </c>
      <c r="N7" s="13">
        <f t="shared" ref="N7:N9" si="1">E7*L7</f>
        <v>3833068392.235723</v>
      </c>
      <c r="O7" s="19">
        <f t="shared" ref="O7:O9" si="2">M7/G7</f>
        <v>11.120847429323447</v>
      </c>
    </row>
    <row r="8" spans="2:15" x14ac:dyDescent="0.45">
      <c r="B8" s="6" t="s">
        <v>7</v>
      </c>
      <c r="C8" s="6" t="str">
        <f>C15</f>
        <v>2020-21</v>
      </c>
      <c r="D8" s="13">
        <v>723148</v>
      </c>
      <c r="E8" s="13">
        <v>207637</v>
      </c>
      <c r="F8" s="14">
        <f t="shared" si="0"/>
        <v>3.4827511474351875</v>
      </c>
      <c r="G8" s="13">
        <v>315587803</v>
      </c>
      <c r="H8" s="13">
        <v>436</v>
      </c>
      <c r="I8" s="13">
        <v>1520</v>
      </c>
      <c r="J8" s="13">
        <v>458</v>
      </c>
      <c r="K8" s="13">
        <f>'Dairybase (North Cant) stats'!AR5*1000</f>
        <v>5062.0334304741691</v>
      </c>
      <c r="L8" s="13">
        <f>('Dairybase (North Cant) stats'!AF5+'Dairybase (North Cant) stats'!AG5+'Dairybase (North Cant) stats'!AH5+'Dairybase (North Cant) stats'!AI5)*1000</f>
        <v>20151.106505625015</v>
      </c>
      <c r="M8" s="13">
        <f t="shared" ref="M8:M9" si="3">D8*K8</f>
        <v>3660599351.1805344</v>
      </c>
      <c r="N8" s="13">
        <f t="shared" si="1"/>
        <v>4184115301.5084615</v>
      </c>
      <c r="O8" s="19">
        <f t="shared" si="2"/>
        <v>11.599305538371945</v>
      </c>
    </row>
    <row r="9" spans="2:15" x14ac:dyDescent="0.45">
      <c r="B9" s="6" t="s">
        <v>7</v>
      </c>
      <c r="C9" s="6" t="str">
        <f>C16</f>
        <v>2019-20</v>
      </c>
      <c r="D9" s="13">
        <v>719289</v>
      </c>
      <c r="E9" s="13">
        <v>206790</v>
      </c>
      <c r="F9" s="14">
        <f t="shared" si="0"/>
        <v>3.4783548527491659</v>
      </c>
      <c r="G9" s="13">
        <v>312626067</v>
      </c>
      <c r="H9" s="13">
        <v>435</v>
      </c>
      <c r="I9" s="13">
        <v>1512</v>
      </c>
      <c r="J9" s="13">
        <v>451</v>
      </c>
      <c r="K9" s="13">
        <f>'Dairybase (North Cant) stats'!AR6*1000</f>
        <v>5002.2450003611975</v>
      </c>
      <c r="L9" s="13">
        <f>('Dairybase (North Cant) stats'!AF6+'Dairybase (North Cant) stats'!AG6+'Dairybase (North Cant) stats'!AH6+'Dairybase (North Cant) stats'!AI6)*1000</f>
        <v>19899.451051811218</v>
      </c>
      <c r="M9" s="13">
        <f t="shared" si="3"/>
        <v>3598059804.0648055</v>
      </c>
      <c r="N9" s="13">
        <f t="shared" si="1"/>
        <v>4115007483.0040417</v>
      </c>
      <c r="O9" s="19">
        <f t="shared" si="2"/>
        <v>11.509148416804301</v>
      </c>
    </row>
    <row r="10" spans="2:15" s="15" customFormat="1" ht="15.75" x14ac:dyDescent="0.45">
      <c r="B10" s="15" t="s">
        <v>49</v>
      </c>
      <c r="D10" s="16"/>
      <c r="E10" s="16"/>
      <c r="F10" s="19">
        <f>AVERAGE(F6:F9)</f>
        <v>3.4796338399361142</v>
      </c>
      <c r="G10" s="16"/>
      <c r="H10" s="16"/>
      <c r="I10" s="16"/>
      <c r="J10" s="16"/>
      <c r="K10" s="16"/>
      <c r="L10" s="16"/>
      <c r="M10" s="16"/>
      <c r="N10" s="16"/>
      <c r="O10" s="69">
        <f>AVERAGE(O6:O9)</f>
        <v>11.198937952194276</v>
      </c>
    </row>
    <row r="11" spans="2:15" x14ac:dyDescent="0.45"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6"/>
    </row>
    <row r="12" spans="2:15" x14ac:dyDescent="0.45">
      <c r="B12" s="54" t="s">
        <v>110</v>
      </c>
    </row>
    <row r="13" spans="2:15" x14ac:dyDescent="0.45">
      <c r="B13" s="6" t="s">
        <v>6</v>
      </c>
      <c r="C13" s="6" t="s">
        <v>5</v>
      </c>
      <c r="D13" s="13">
        <v>4674750</v>
      </c>
      <c r="E13" s="13">
        <v>1659430</v>
      </c>
      <c r="F13" s="14">
        <f>D13/E13</f>
        <v>2.8170817690411769</v>
      </c>
      <c r="G13" s="13">
        <v>1873020932</v>
      </c>
      <c r="H13" s="13">
        <v>393</v>
      </c>
      <c r="I13" s="13">
        <v>1125</v>
      </c>
      <c r="J13" s="13">
        <v>482</v>
      </c>
      <c r="K13" s="63" t="s">
        <v>65</v>
      </c>
      <c r="L13" s="13"/>
      <c r="M13" s="13" t="e">
        <f t="shared" ref="M13:N16" si="4">D13*K13</f>
        <v>#VALUE!</v>
      </c>
      <c r="N13" s="13">
        <f t="shared" si="4"/>
        <v>0</v>
      </c>
      <c r="O13" s="19" t="e">
        <f t="shared" ref="O13:O16" si="5">M13/G13</f>
        <v>#VALUE!</v>
      </c>
    </row>
    <row r="14" spans="2:15" x14ac:dyDescent="0.45">
      <c r="B14" s="6" t="s">
        <v>6</v>
      </c>
      <c r="C14" s="6" t="s">
        <v>45</v>
      </c>
      <c r="D14" s="13">
        <v>4842122</v>
      </c>
      <c r="E14" s="13">
        <v>1701380</v>
      </c>
      <c r="F14" s="14">
        <f t="shared" ref="F14:F16" si="6">D14/E14</f>
        <v>2.8459967790852132</v>
      </c>
      <c r="G14" s="13">
        <v>1867640344</v>
      </c>
      <c r="H14" s="13">
        <v>386</v>
      </c>
      <c r="I14" s="13">
        <v>1098</v>
      </c>
      <c r="J14" s="13">
        <v>486</v>
      </c>
      <c r="K14" s="63" t="s">
        <v>65</v>
      </c>
      <c r="L14" s="13"/>
      <c r="M14" s="13" t="e">
        <f t="shared" si="4"/>
        <v>#VALUE!</v>
      </c>
      <c r="N14" s="13">
        <f t="shared" si="4"/>
        <v>0</v>
      </c>
      <c r="O14" s="19" t="e">
        <f t="shared" si="5"/>
        <v>#VALUE!</v>
      </c>
    </row>
    <row r="15" spans="2:15" x14ac:dyDescent="0.45">
      <c r="B15" s="6" t="s">
        <v>6</v>
      </c>
      <c r="C15" s="6" t="s">
        <v>46</v>
      </c>
      <c r="D15" s="13">
        <v>4903733</v>
      </c>
      <c r="E15" s="13">
        <v>1713515</v>
      </c>
      <c r="F15" s="14">
        <f t="shared" si="6"/>
        <v>2.8617975331409413</v>
      </c>
      <c r="G15" s="13">
        <v>1947533720</v>
      </c>
      <c r="H15" s="13">
        <v>397</v>
      </c>
      <c r="I15" s="13">
        <v>1137</v>
      </c>
      <c r="J15" s="13">
        <v>458</v>
      </c>
      <c r="K15" s="63" t="s">
        <v>65</v>
      </c>
      <c r="L15" s="13"/>
      <c r="M15" s="13" t="e">
        <f t="shared" si="4"/>
        <v>#VALUE!</v>
      </c>
      <c r="N15" s="13">
        <f t="shared" si="4"/>
        <v>0</v>
      </c>
      <c r="O15" s="19" t="e">
        <f t="shared" si="5"/>
        <v>#VALUE!</v>
      </c>
    </row>
    <row r="16" spans="2:15" x14ac:dyDescent="0.45">
      <c r="B16" s="6" t="s">
        <v>6</v>
      </c>
      <c r="C16" s="6" t="s">
        <v>47</v>
      </c>
      <c r="D16" s="13">
        <v>4921548</v>
      </c>
      <c r="E16" s="13">
        <v>1730374</v>
      </c>
      <c r="F16" s="14">
        <f t="shared" si="6"/>
        <v>2.844210557948744</v>
      </c>
      <c r="G16" s="13">
        <v>1895898580</v>
      </c>
      <c r="H16" s="13">
        <v>385</v>
      </c>
      <c r="I16" s="13">
        <v>1096</v>
      </c>
      <c r="J16" s="13">
        <v>451</v>
      </c>
      <c r="K16" s="63" t="s">
        <v>65</v>
      </c>
      <c r="L16" s="13"/>
      <c r="M16" s="13" t="e">
        <f t="shared" si="4"/>
        <v>#VALUE!</v>
      </c>
      <c r="N16" s="13">
        <f t="shared" si="4"/>
        <v>0</v>
      </c>
      <c r="O16" s="19" t="e">
        <f t="shared" si="5"/>
        <v>#VALUE!</v>
      </c>
    </row>
    <row r="17" spans="2:15" s="15" customFormat="1" ht="15.75" x14ac:dyDescent="0.45">
      <c r="B17" s="15" t="s">
        <v>49</v>
      </c>
      <c r="D17" s="16"/>
      <c r="E17" s="16"/>
      <c r="F17" s="19">
        <f>AVERAGE(F13:F16)</f>
        <v>2.8422716598040187</v>
      </c>
      <c r="G17" s="16"/>
      <c r="H17" s="16"/>
      <c r="I17" s="16"/>
      <c r="J17" s="16"/>
      <c r="L17" s="16"/>
      <c r="M17" s="13"/>
      <c r="N17" s="13"/>
      <c r="O17" s="69" t="e">
        <f>AVERAGE(O13:O16)</f>
        <v>#VALUE!</v>
      </c>
    </row>
    <row r="18" spans="2:15" x14ac:dyDescent="0.4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B88520FF59A4F9A0D7C9AF14AB527" ma:contentTypeVersion="15" ma:contentTypeDescription="Create a new document." ma:contentTypeScope="" ma:versionID="1277df758dc42d6013b0b8b1bb2f5e1e">
  <xsd:schema xmlns:xsd="http://www.w3.org/2001/XMLSchema" xmlns:xs="http://www.w3.org/2001/XMLSchema" xmlns:p="http://schemas.microsoft.com/office/2006/metadata/properties" xmlns:ns2="045d17be-0417-454b-bf33-0a1c77722697" xmlns:ns3="e539de67-0f35-46d9-bef7-8add20a06646" targetNamespace="http://schemas.microsoft.com/office/2006/metadata/properties" ma:root="true" ma:fieldsID="ac0aebab06c456da74266520436cf64d" ns2:_="" ns3:_="">
    <xsd:import namespace="045d17be-0417-454b-bf33-0a1c77722697"/>
    <xsd:import namespace="e539de67-0f35-46d9-bef7-8add20a066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d17be-0417-454b-bf33-0a1c77722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d9f55a-d757-4444-9f2b-fdfbd884a1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9de67-0f35-46d9-bef7-8add20a066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f6167f-af3c-4d5d-a579-2867333ce576}" ma:internalName="TaxCatchAll" ma:showField="CatchAllData" ma:web="e539de67-0f35-46d9-bef7-8add20a066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5d17be-0417-454b-bf33-0a1c77722697">
      <Terms xmlns="http://schemas.microsoft.com/office/infopath/2007/PartnerControls"/>
    </lcf76f155ced4ddcb4097134ff3c332f>
    <TaxCatchAll xmlns="e539de67-0f35-46d9-bef7-8add20a06646" xsi:nil="true"/>
  </documentManagement>
</p:properties>
</file>

<file path=customXml/itemProps1.xml><?xml version="1.0" encoding="utf-8"?>
<ds:datastoreItem xmlns:ds="http://schemas.openxmlformats.org/officeDocument/2006/customXml" ds:itemID="{64F91D85-EEB6-4AEC-A174-6FB42CFF02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d17be-0417-454b-bf33-0a1c77722697"/>
    <ds:schemaRef ds:uri="e539de67-0f35-46d9-bef7-8add20a066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80BE1E-8FE5-434A-A958-F2FC28C10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1A1F9-3897-4A75-ACA2-B49EE4CA2325}">
  <ds:schemaRefs>
    <ds:schemaRef ds:uri="http://schemas.microsoft.com/office/2006/metadata/properties"/>
    <ds:schemaRef ds:uri="http://schemas.microsoft.com/office/infopath/2007/PartnerControls"/>
    <ds:schemaRef ds:uri="045d17be-0417-454b-bf33-0a1c77722697"/>
    <ds:schemaRef ds:uri="e539de67-0f35-46d9-bef7-8add20a066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FCE calculation</vt:lpstr>
      <vt:lpstr>Replacement + Dry Feed</vt:lpstr>
      <vt:lpstr>Dairybase (North Cant) stats</vt:lpstr>
      <vt:lpstr>Milk production</vt:lpstr>
      <vt:lpstr>Herd Distribution</vt:lpstr>
      <vt:lpstr>Payout</vt:lpstr>
      <vt:lpstr>Feed costs</vt:lpstr>
      <vt:lpstr>EFS &amp; Debt</vt:lpstr>
      <vt:lpstr>FCE calculation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Curtis</dc:creator>
  <cp:lastModifiedBy>Andrew Curtis</cp:lastModifiedBy>
  <dcterms:created xsi:type="dcterms:W3CDTF">2024-05-26T22:08:14Z</dcterms:created>
  <dcterms:modified xsi:type="dcterms:W3CDTF">2024-06-25T23:42:38Z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0x01010069BB88520FF59A4F9A0D7C9AF14AB527</vt:lpwstr>
  </property>
</Properties>
</file>